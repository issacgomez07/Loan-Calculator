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otis\Desktop\"/>
    </mc:Choice>
  </mc:AlternateContent>
  <xr:revisionPtr revIDLastSave="0" documentId="13_ncr:1_{81FDB051-811B-40D6-94DC-A0733BB8A188}" xr6:coauthVersionLast="47" xr6:coauthVersionMax="47" xr10:uidLastSave="{00000000-0000-0000-0000-000000000000}"/>
  <bookViews>
    <workbookView xWindow="-108" yWindow="-108" windowWidth="30936" windowHeight="16896" tabRatio="462" xr2:uid="{A99D6016-CDC4-46BD-A776-78CF5CD06A22}"/>
  </bookViews>
  <sheets>
    <sheet name="Loan Options Sheet" sheetId="7" r:id="rId1"/>
    <sheet name="Calculator" sheetId="8" r:id="rId2"/>
    <sheet name="Debts" sheetId="4" state="hidden" r:id="rId3"/>
    <sheet name="Back End" sheetId="2" r:id="rId4"/>
    <sheet name="Rate Sheet" sheetId="9" r:id="rId5"/>
  </sheets>
  <functionGroups builtInGroupCount="19"/>
  <definedNames>
    <definedName name="BoolDTI31">Calculator!$H$24</definedName>
    <definedName name="BoolDTI36">Calculator!$H$23</definedName>
    <definedName name="BoolDTI41">Calculator!$H$22</definedName>
    <definedName name="BoolDTI45">Calculator!$H$21</definedName>
    <definedName name="BoolDTI47">Calculator!$J$19</definedName>
    <definedName name="BoolDTI50">Calculator!$H$20</definedName>
    <definedName name="BoolDTI57">Calculator!$H$19</definedName>
    <definedName name="C.LOANLIMIT">726200</definedName>
    <definedName name="DTI">Calculator!$I$18</definedName>
    <definedName name="DTI.FHA.BE">Calculator!$D$3*0.569-Calculator!$E$3</definedName>
    <definedName name="DTI.FHA.FE">Calculator!$D$3*0.469-Calculator!$E$12</definedName>
    <definedName name="HousingPayment">'Loan Options Sheet'!$DP$46</definedName>
    <definedName name="LOANLIMIT.FHA">IF('Back End'!$C$23=TRUE,'Back End'!$B$23,IF('Back End'!$C$24=TRUE,'Back End'!$B$24,IF('Back End'!$C$25=TRUE,'Back End'!$B$25,'Back End'!$B$23)))</definedName>
    <definedName name="MaxPMTConv">Calculator!$D$24</definedName>
    <definedName name="MaxPMTFHA">Calculator!$D$19</definedName>
    <definedName name="_xlnm.Print_Area" localSheetId="0">'Loan Options Sheet'!$AO$1:$ED$74</definedName>
    <definedName name="RATE">'Loan Options Sheet'!$DD$59</definedName>
    <definedName name="RATE.CONV">Calculator!#REF!/12</definedName>
    <definedName name="RATE.FHA">Calculator!#REF!/12</definedName>
    <definedName name="TERM">'Back End'!$E$11</definedName>
    <definedName name="ValueDTI31">Calculator!$G$24</definedName>
    <definedName name="ValueDTI36">Calculator!$G$23</definedName>
    <definedName name="ValueDTI41">Calculator!$G$22</definedName>
    <definedName name="ValueDTI45">Calculator!$G$21</definedName>
    <definedName name="ValueDTI47">Calculator!$I$19</definedName>
    <definedName name="ValueDTI50">Calculator!$G$20</definedName>
    <definedName name="ValueDTI57">Calculator!$G$19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6" i="8" l="1"/>
  <c r="W22" i="9"/>
  <c r="O3" i="9"/>
  <c r="M36" i="8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W55" i="9"/>
  <c r="W54" i="9"/>
  <c r="W53" i="9"/>
  <c r="W52" i="9"/>
  <c r="W51" i="9"/>
  <c r="W50" i="9"/>
  <c r="W49" i="9"/>
  <c r="W48" i="9"/>
  <c r="W47" i="9"/>
  <c r="W46" i="9"/>
  <c r="W45" i="9"/>
  <c r="W44" i="9"/>
  <c r="W43" i="9"/>
  <c r="W42" i="9"/>
  <c r="W41" i="9"/>
  <c r="W40" i="9"/>
  <c r="W39" i="9"/>
  <c r="W38" i="9"/>
  <c r="W37" i="9"/>
  <c r="W36" i="9"/>
  <c r="W35" i="9"/>
  <c r="W34" i="9"/>
  <c r="W33" i="9"/>
  <c r="W32" i="9"/>
  <c r="W31" i="9"/>
  <c r="W30" i="9"/>
  <c r="W29" i="9"/>
  <c r="W28" i="9"/>
  <c r="W27" i="9"/>
  <c r="W26" i="9"/>
  <c r="W25" i="9"/>
  <c r="W24" i="9"/>
  <c r="W23" i="9"/>
  <c r="W21" i="9"/>
  <c r="W20" i="9"/>
  <c r="W19" i="9"/>
  <c r="W18" i="9"/>
  <c r="W17" i="9"/>
  <c r="W16" i="9"/>
  <c r="W15" i="9"/>
  <c r="W14" i="9"/>
  <c r="W13" i="9"/>
  <c r="W12" i="9"/>
  <c r="W11" i="9"/>
  <c r="W10" i="9"/>
  <c r="W9" i="9"/>
  <c r="W8" i="9"/>
  <c r="W7" i="9"/>
  <c r="W6" i="9"/>
  <c r="W5" i="9"/>
  <c r="W4" i="9"/>
  <c r="W3" i="9"/>
  <c r="I55" i="9"/>
  <c r="I54" i="9"/>
  <c r="I53" i="9"/>
  <c r="I52" i="9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O55" i="9"/>
  <c r="O54" i="9"/>
  <c r="O53" i="9"/>
  <c r="O52" i="9"/>
  <c r="O51" i="9"/>
  <c r="O50" i="9"/>
  <c r="O49" i="9"/>
  <c r="O48" i="9"/>
  <c r="O47" i="9"/>
  <c r="O46" i="9"/>
  <c r="O45" i="9"/>
  <c r="O44" i="9"/>
  <c r="O43" i="9"/>
  <c r="O42" i="9"/>
  <c r="O41" i="9"/>
  <c r="O40" i="9"/>
  <c r="O39" i="9"/>
  <c r="O38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4" i="9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M37" i="8"/>
  <c r="DN69" i="7"/>
  <c r="D46" i="8"/>
  <c r="D45" i="8"/>
  <c r="DD51" i="7"/>
  <c r="H27" i="8" s="1"/>
  <c r="H46" i="8"/>
  <c r="F51" i="8" s="1"/>
  <c r="R31" i="2" a="1"/>
  <c r="R31" i="2" s="1"/>
  <c r="R32" i="2" s="1"/>
  <c r="T35" i="2" s="1"/>
  <c r="I18" i="8"/>
  <c r="D19" i="8" s="1"/>
  <c r="BX38" i="7" s="1"/>
  <c r="W2" i="2" a="1"/>
  <c r="W2" i="2" s="1"/>
  <c r="D24" i="8" l="1"/>
  <c r="N49" i="9" a="1"/>
  <c r="N49" i="9" s="1"/>
  <c r="M49" i="9" s="1"/>
  <c r="F40" i="8"/>
  <c r="N14" i="9" a="1"/>
  <c r="N14" i="9" s="1"/>
  <c r="M14" i="9" s="1"/>
  <c r="I14" i="9" s="1"/>
  <c r="N21" i="9" a="1"/>
  <c r="N21" i="9" s="1"/>
  <c r="M21" i="9" s="1"/>
  <c r="I21" i="9" s="1"/>
  <c r="N4" i="9" a="1"/>
  <c r="N4" i="9" s="1"/>
  <c r="M4" i="9" s="1"/>
  <c r="I4" i="9" s="1"/>
  <c r="N19" i="9" a="1"/>
  <c r="N19" i="9" s="1"/>
  <c r="M19" i="9" s="1"/>
  <c r="I19" i="9" s="1"/>
  <c r="N11" i="9" a="1"/>
  <c r="N11" i="9" s="1"/>
  <c r="M11" i="9" s="1"/>
  <c r="I11" i="9" s="1"/>
  <c r="N6" i="9" a="1"/>
  <c r="N6" i="9" s="1"/>
  <c r="M6" i="9" s="1"/>
  <c r="I6" i="9" s="1"/>
  <c r="N18" i="9" a="1"/>
  <c r="N18" i="9" s="1"/>
  <c r="M18" i="9" s="1"/>
  <c r="I18" i="9" s="1"/>
  <c r="N10" i="9" a="1"/>
  <c r="N10" i="9" s="1"/>
  <c r="M10" i="9" s="1"/>
  <c r="I10" i="9" s="1"/>
  <c r="N5" i="9" a="1"/>
  <c r="N5" i="9" s="1"/>
  <c r="M5" i="9" s="1"/>
  <c r="I5" i="9" s="1"/>
  <c r="N17" i="9" a="1"/>
  <c r="N17" i="9" s="1"/>
  <c r="M17" i="9" s="1"/>
  <c r="I17" i="9" s="1"/>
  <c r="N9" i="9" a="1"/>
  <c r="N9" i="9" s="1"/>
  <c r="M9" i="9" s="1"/>
  <c r="I9" i="9" s="1"/>
  <c r="N15" i="9" a="1"/>
  <c r="N15" i="9" s="1"/>
  <c r="M15" i="9" s="1"/>
  <c r="I15" i="9" s="1"/>
  <c r="N22" i="9" a="1"/>
  <c r="N22" i="9" s="1"/>
  <c r="M22" i="9" s="1"/>
  <c r="I22" i="9" s="1"/>
  <c r="N16" i="9" a="1"/>
  <c r="N16" i="9" s="1"/>
  <c r="M16" i="9" s="1"/>
  <c r="I16" i="9" s="1"/>
  <c r="N8" i="9" a="1"/>
  <c r="N8" i="9" s="1"/>
  <c r="M8" i="9" s="1"/>
  <c r="I8" i="9" s="1"/>
  <c r="N7" i="9" a="1"/>
  <c r="N7" i="9" s="1"/>
  <c r="M7" i="9" s="1"/>
  <c r="I7" i="9" s="1"/>
  <c r="N3" i="9" a="1"/>
  <c r="N3" i="9" s="1"/>
  <c r="M3" i="9" s="1"/>
  <c r="I3" i="9" s="1"/>
  <c r="N20" i="9" a="1"/>
  <c r="N20" i="9" s="1"/>
  <c r="M20" i="9" s="1"/>
  <c r="I20" i="9" s="1"/>
  <c r="N13" i="9" a="1"/>
  <c r="N13" i="9" s="1"/>
  <c r="M13" i="9" s="1"/>
  <c r="I13" i="9" s="1"/>
  <c r="N12" i="9" a="1"/>
  <c r="N12" i="9" s="1"/>
  <c r="M12" i="9" s="1"/>
  <c r="I12" i="9" s="1"/>
  <c r="D40" i="8"/>
  <c r="D41" i="8"/>
  <c r="F48" i="8" a="1"/>
  <c r="F48" i="8" s="1"/>
  <c r="F50" i="8"/>
  <c r="N37" i="9" a="1"/>
  <c r="N37" i="9" s="1"/>
  <c r="M37" i="9" s="1"/>
  <c r="N29" i="9" a="1"/>
  <c r="N29" i="9" s="1"/>
  <c r="M29" i="9" s="1"/>
  <c r="N45" i="9" a="1"/>
  <c r="N45" i="9" s="1"/>
  <c r="M45" i="9" s="1"/>
  <c r="N40" i="9" a="1"/>
  <c r="N40" i="9" s="1"/>
  <c r="M40" i="9" s="1"/>
  <c r="N28" i="9" a="1"/>
  <c r="N28" i="9" s="1"/>
  <c r="M28" i="9" s="1"/>
  <c r="N36" i="9" a="1"/>
  <c r="N36" i="9" s="1"/>
  <c r="M36" i="9" s="1"/>
  <c r="N44" i="9" a="1"/>
  <c r="N44" i="9" s="1"/>
  <c r="M44" i="9" s="1"/>
  <c r="N52" i="9" a="1"/>
  <c r="N52" i="9" s="1"/>
  <c r="M52" i="9" s="1"/>
  <c r="N53" i="9" a="1"/>
  <c r="N53" i="9" s="1"/>
  <c r="M53" i="9" s="1"/>
  <c r="N30" i="9" a="1"/>
  <c r="N30" i="9" s="1"/>
  <c r="M30" i="9" s="1"/>
  <c r="N38" i="9" a="1"/>
  <c r="N38" i="9" s="1"/>
  <c r="M38" i="9" s="1"/>
  <c r="N46" i="9" a="1"/>
  <c r="N46" i="9" s="1"/>
  <c r="M46" i="9" s="1"/>
  <c r="N54" i="9" a="1"/>
  <c r="N54" i="9" s="1"/>
  <c r="M54" i="9" s="1"/>
  <c r="N48" i="9" a="1"/>
  <c r="N48" i="9" s="1"/>
  <c r="M48" i="9" s="1"/>
  <c r="N26" i="9" a="1"/>
  <c r="N26" i="9" s="1"/>
  <c r="M26" i="9" s="1"/>
  <c r="N34" i="9" a="1"/>
  <c r="N34" i="9" s="1"/>
  <c r="M34" i="9" s="1"/>
  <c r="N42" i="9" a="1"/>
  <c r="N42" i="9" s="1"/>
  <c r="M42" i="9" s="1"/>
  <c r="N50" i="9" a="1"/>
  <c r="N50" i="9" s="1"/>
  <c r="M50" i="9" s="1"/>
  <c r="N24" i="9" a="1"/>
  <c r="N24" i="9" s="1"/>
  <c r="M24" i="9" s="1"/>
  <c r="N23" i="9" a="1"/>
  <c r="N23" i="9" s="1"/>
  <c r="M23" i="9" s="1"/>
  <c r="I23" i="9" s="1"/>
  <c r="N47" i="9" a="1"/>
  <c r="N47" i="9" s="1"/>
  <c r="M47" i="9" s="1"/>
  <c r="N31" i="9" a="1"/>
  <c r="N31" i="9" s="1"/>
  <c r="M31" i="9" s="1"/>
  <c r="N32" i="9" a="1"/>
  <c r="N32" i="9" s="1"/>
  <c r="M32" i="9" s="1"/>
  <c r="N39" i="9" a="1"/>
  <c r="N39" i="9" s="1"/>
  <c r="M39" i="9" s="1"/>
  <c r="N55" i="9" a="1"/>
  <c r="N55" i="9" s="1"/>
  <c r="M55" i="9" s="1"/>
  <c r="N25" i="9" a="1"/>
  <c r="N25" i="9" s="1"/>
  <c r="M25" i="9" s="1"/>
  <c r="N33" i="9" a="1"/>
  <c r="N33" i="9" s="1"/>
  <c r="M33" i="9" s="1"/>
  <c r="N41" i="9" a="1"/>
  <c r="N41" i="9" s="1"/>
  <c r="M41" i="9" s="1"/>
  <c r="N27" i="9" a="1"/>
  <c r="N27" i="9" s="1"/>
  <c r="M27" i="9" s="1"/>
  <c r="N35" i="9" a="1"/>
  <c r="N35" i="9" s="1"/>
  <c r="M35" i="9" s="1"/>
  <c r="N43" i="9" a="1"/>
  <c r="N43" i="9" s="1"/>
  <c r="M43" i="9" s="1"/>
  <c r="N51" i="9" a="1"/>
  <c r="N51" i="9" s="1"/>
  <c r="M51" i="9" s="1"/>
  <c r="N30" i="8" a="1"/>
  <c r="N30" i="8" s="1"/>
  <c r="F19" i="8" s="1"/>
  <c r="F20" i="8" s="1"/>
  <c r="F18" i="8" s="1"/>
  <c r="N40" i="8" a="1"/>
  <c r="N40" i="8" s="1"/>
  <c r="N39" i="8" a="1"/>
  <c r="N39" i="8" s="1"/>
  <c r="H28" i="8"/>
  <c r="CH59" i="7"/>
  <c r="F41" i="8"/>
  <c r="R2" i="2" a="1"/>
  <c r="R2" i="2" s="1"/>
  <c r="M2" i="2"/>
  <c r="M3" i="2" s="1"/>
  <c r="J3" i="4"/>
  <c r="U47" i="9" l="1"/>
  <c r="V22" i="9"/>
  <c r="S22" i="9" s="1"/>
  <c r="D22" i="9" s="1"/>
  <c r="F39" i="8"/>
  <c r="V47" i="9"/>
  <c r="S47" i="9" s="1"/>
  <c r="U28" i="9"/>
  <c r="U36" i="9"/>
  <c r="U29" i="9"/>
  <c r="V39" i="9"/>
  <c r="S39" i="9" s="1"/>
  <c r="T30" i="9"/>
  <c r="V48" i="9"/>
  <c r="S48" i="9" s="1"/>
  <c r="U8" i="9"/>
  <c r="V41" i="9"/>
  <c r="S41" i="9" s="1"/>
  <c r="V15" i="9"/>
  <c r="V33" i="9"/>
  <c r="T23" i="9"/>
  <c r="T14" i="9"/>
  <c r="V7" i="9"/>
  <c r="U50" i="9"/>
  <c r="T42" i="9"/>
  <c r="U52" i="9"/>
  <c r="U37" i="9"/>
  <c r="T34" i="9"/>
  <c r="T50" i="9"/>
  <c r="V32" i="9"/>
  <c r="U5" i="9"/>
  <c r="U3" i="9"/>
  <c r="U22" i="9"/>
  <c r="V5" i="9"/>
  <c r="S5" i="9" s="1"/>
  <c r="D5" i="9" s="1"/>
  <c r="T20" i="9"/>
  <c r="V42" i="9"/>
  <c r="S42" i="9" s="1"/>
  <c r="T17" i="9"/>
  <c r="V35" i="9"/>
  <c r="S35" i="9" s="1"/>
  <c r="V50" i="9"/>
  <c r="S50" i="9" s="1"/>
  <c r="T33" i="9"/>
  <c r="V25" i="9"/>
  <c r="S25" i="9" s="1"/>
  <c r="T15" i="9"/>
  <c r="T6" i="9"/>
  <c r="V54" i="9"/>
  <c r="S54" i="9" s="1"/>
  <c r="U42" i="9"/>
  <c r="T19" i="9"/>
  <c r="U40" i="9"/>
  <c r="U25" i="9"/>
  <c r="T11" i="9"/>
  <c r="T27" i="9"/>
  <c r="V12" i="9"/>
  <c r="S12" i="9" s="1"/>
  <c r="D12" i="9" s="1"/>
  <c r="V29" i="9"/>
  <c r="S29" i="9" s="1"/>
  <c r="O30" i="8"/>
  <c r="F23" i="8" s="1"/>
  <c r="F22" i="8" s="1"/>
  <c r="U14" i="9"/>
  <c r="U55" i="9"/>
  <c r="T12" i="9"/>
  <c r="V26" i="9"/>
  <c r="S26" i="9" s="1"/>
  <c r="T48" i="9"/>
  <c r="V27" i="9"/>
  <c r="S27" i="9" s="1"/>
  <c r="V34" i="9"/>
  <c r="S34" i="9" s="1"/>
  <c r="T9" i="9"/>
  <c r="V17" i="9"/>
  <c r="T7" i="9"/>
  <c r="V55" i="9"/>
  <c r="S55" i="9" s="1"/>
  <c r="V46" i="9"/>
  <c r="S46" i="9" s="1"/>
  <c r="U34" i="9"/>
  <c r="U41" i="9"/>
  <c r="U27" i="9"/>
  <c r="U12" i="9"/>
  <c r="U49" i="9"/>
  <c r="T5" i="9"/>
  <c r="T45" i="9"/>
  <c r="T21" i="9"/>
  <c r="O34" i="8"/>
  <c r="U6" i="9"/>
  <c r="O32" i="8"/>
  <c r="U23" i="9"/>
  <c r="T4" i="9"/>
  <c r="V18" i="9"/>
  <c r="T32" i="9"/>
  <c r="V19" i="9"/>
  <c r="S19" i="9" s="1"/>
  <c r="D19" i="9" s="1"/>
  <c r="V10" i="9"/>
  <c r="T40" i="9"/>
  <c r="T24" i="9"/>
  <c r="V3" i="9"/>
  <c r="T55" i="9"/>
  <c r="U18" i="9"/>
  <c r="U16" i="9"/>
  <c r="V21" i="9"/>
  <c r="S21" i="9" s="1"/>
  <c r="D21" i="9" s="1"/>
  <c r="T10" i="9"/>
  <c r="U24" i="9"/>
  <c r="U33" i="9"/>
  <c r="T3" i="9"/>
  <c r="S3" i="9" s="1"/>
  <c r="D3" i="9" s="1"/>
  <c r="V8" i="9"/>
  <c r="U54" i="9"/>
  <c r="V45" i="9"/>
  <c r="S45" i="9" s="1"/>
  <c r="T52" i="9"/>
  <c r="U39" i="9"/>
  <c r="T8" i="9"/>
  <c r="T47" i="9"/>
  <c r="T38" i="9"/>
  <c r="V31" i="9"/>
  <c r="S31" i="9" s="1"/>
  <c r="U10" i="9"/>
  <c r="V24" i="9"/>
  <c r="S24" i="9" s="1"/>
  <c r="T35" i="9"/>
  <c r="V40" i="9"/>
  <c r="S40" i="9" s="1"/>
  <c r="U11" i="9"/>
  <c r="U20" i="9"/>
  <c r="U44" i="9"/>
  <c r="U17" i="9"/>
  <c r="U46" i="9"/>
  <c r="T37" i="9"/>
  <c r="T44" i="9"/>
  <c r="U15" i="9"/>
  <c r="V52" i="9"/>
  <c r="S52" i="9" s="1"/>
  <c r="V16" i="9"/>
  <c r="T51" i="9"/>
  <c r="U48" i="9"/>
  <c r="U43" i="9"/>
  <c r="T43" i="9"/>
  <c r="U35" i="9"/>
  <c r="T54" i="9"/>
  <c r="V38" i="9"/>
  <c r="S38" i="9" s="1"/>
  <c r="V44" i="9"/>
  <c r="S44" i="9" s="1"/>
  <c r="U45" i="9"/>
  <c r="U53" i="9"/>
  <c r="U13" i="9"/>
  <c r="V11" i="9"/>
  <c r="T46" i="9"/>
  <c r="V49" i="9"/>
  <c r="S49" i="9" s="1"/>
  <c r="V23" i="9"/>
  <c r="S23" i="9" s="1"/>
  <c r="D23" i="9" s="1"/>
  <c r="T13" i="9"/>
  <c r="V20" i="9"/>
  <c r="S20" i="9" s="1"/>
  <c r="D20" i="9" s="1"/>
  <c r="U32" i="9"/>
  <c r="U9" i="9"/>
  <c r="U38" i="9"/>
  <c r="T29" i="9"/>
  <c r="T36" i="9"/>
  <c r="T41" i="9"/>
  <c r="V51" i="9"/>
  <c r="S51" i="9" s="1"/>
  <c r="U31" i="9"/>
  <c r="V9" i="9"/>
  <c r="U26" i="9"/>
  <c r="V37" i="9"/>
  <c r="S37" i="9" s="1"/>
  <c r="T26" i="9"/>
  <c r="T16" i="9"/>
  <c r="V30" i="9"/>
  <c r="S30" i="9" s="1"/>
  <c r="T39" i="9"/>
  <c r="V14" i="9"/>
  <c r="S14" i="9" s="1"/>
  <c r="D14" i="9" s="1"/>
  <c r="V4" i="9"/>
  <c r="S4" i="9" s="1"/>
  <c r="D4" i="9" s="1"/>
  <c r="V36" i="9"/>
  <c r="S36" i="9" s="1"/>
  <c r="T31" i="9"/>
  <c r="T22" i="9"/>
  <c r="V6" i="9"/>
  <c r="V28" i="9"/>
  <c r="S28" i="9" s="1"/>
  <c r="T18" i="9"/>
  <c r="U51" i="9"/>
  <c r="T53" i="9"/>
  <c r="V13" i="9"/>
  <c r="S13" i="9" s="1"/>
  <c r="D13" i="9" s="1"/>
  <c r="V53" i="9"/>
  <c r="S53" i="9" s="1"/>
  <c r="U19" i="9"/>
  <c r="U4" i="9"/>
  <c r="U30" i="9"/>
  <c r="U21" i="9"/>
  <c r="T28" i="9"/>
  <c r="T25" i="9"/>
  <c r="V43" i="9"/>
  <c r="S43" i="9" s="1"/>
  <c r="T49" i="9"/>
  <c r="U7" i="9"/>
  <c r="F45" i="8"/>
  <c r="R35" i="2" a="1"/>
  <c r="R35" i="2" s="1"/>
  <c r="R36" i="2" s="1"/>
  <c r="T39" i="2" s="1"/>
  <c r="R39" i="2" s="1" a="1"/>
  <c r="R39" i="2" s="1"/>
  <c r="R40" i="2" s="1"/>
  <c r="T43" i="2" s="1"/>
  <c r="M15" i="2"/>
  <c r="J4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S32" i="9" l="1"/>
  <c r="S33" i="9"/>
  <c r="R17" i="2" a="1"/>
  <c r="R17" i="2" s="1"/>
  <c r="R18" i="2" s="1"/>
  <c r="T21" i="2" s="1"/>
  <c r="W17" i="2"/>
  <c r="Y20" i="2" s="1"/>
  <c r="O18" i="2"/>
  <c r="M18" i="2" s="1"/>
  <c r="Q51" i="4"/>
  <c r="W20" i="2" l="1"/>
  <c r="Y24" i="2" s="1"/>
  <c r="R21" i="2" a="1"/>
  <c r="R21" i="2" s="1"/>
  <c r="R22" i="2" s="1"/>
  <c r="T25" i="2" s="1"/>
  <c r="O21" i="2"/>
  <c r="M21" i="2" s="1"/>
  <c r="B33" i="2"/>
  <c r="R51" i="4"/>
  <c r="L3" i="4"/>
  <c r="P3" i="4"/>
  <c r="L4" i="4"/>
  <c r="P4" i="4"/>
  <c r="N51" i="4"/>
  <c r="M51" i="4"/>
  <c r="H51" i="4"/>
  <c r="G51" i="4"/>
  <c r="C51" i="4"/>
  <c r="D51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K51" i="4"/>
  <c r="O24" i="2" l="1"/>
  <c r="R25" i="2" a="1"/>
  <c r="R25" i="2" s="1"/>
  <c r="R26" i="2" s="1"/>
  <c r="T29" i="2" s="1"/>
  <c r="W23" i="2"/>
  <c r="Y28" i="2" s="1"/>
  <c r="B29" i="2"/>
  <c r="B31" i="2"/>
  <c r="L51" i="4"/>
  <c r="P35" i="4" l="1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O51" i="4"/>
  <c r="I51" i="4"/>
  <c r="L52" i="4" s="1"/>
  <c r="D34" i="8" l="1"/>
  <c r="P34" i="4"/>
  <c r="P33" i="4"/>
  <c r="P32" i="4"/>
  <c r="P31" i="4"/>
  <c r="P30" i="4"/>
  <c r="P29" i="4"/>
  <c r="P28" i="4"/>
  <c r="P27" i="4"/>
  <c r="P26" i="4"/>
  <c r="P25" i="4"/>
  <c r="P24" i="4"/>
  <c r="P23" i="4"/>
  <c r="P22" i="4"/>
  <c r="P21" i="4"/>
  <c r="P20" i="4"/>
  <c r="P19" i="4"/>
  <c r="P18" i="4"/>
  <c r="P17" i="4"/>
  <c r="P16" i="4"/>
  <c r="P15" i="4"/>
  <c r="P14" i="4"/>
  <c r="P13" i="4"/>
  <c r="P12" i="4"/>
  <c r="P11" i="4"/>
  <c r="P10" i="4"/>
  <c r="P9" i="4"/>
  <c r="P8" i="4"/>
  <c r="P7" i="4"/>
  <c r="P6" i="4"/>
  <c r="P5" i="4"/>
  <c r="S10" i="9" l="1"/>
  <c r="D10" i="9" s="1"/>
  <c r="S11" i="9"/>
  <c r="D11" i="9" s="1"/>
  <c r="F49" i="8"/>
  <c r="M31" i="2"/>
  <c r="P51" i="4"/>
  <c r="J51" i="4"/>
  <c r="F47" i="8" l="1"/>
  <c r="E53" i="8" s="1"/>
  <c r="O34" i="2"/>
  <c r="M34" i="2" s="1"/>
  <c r="B34" i="2"/>
  <c r="I52" i="4"/>
  <c r="O37" i="2" l="1"/>
  <c r="M37" i="2" s="1"/>
  <c r="O40" i="2" s="1"/>
  <c r="B32" i="2"/>
  <c r="B12" i="2"/>
  <c r="E51" i="4" l="1"/>
  <c r="F51" i="4"/>
  <c r="B30" i="2" l="1"/>
  <c r="W3" i="2" l="1"/>
  <c r="O5" i="2" l="1"/>
  <c r="M5" i="2" s="1"/>
  <c r="O8" i="2" s="1"/>
  <c r="R3" i="2"/>
  <c r="R4" i="2" s="1"/>
  <c r="Y5" i="2"/>
  <c r="W5" i="2" s="1" a="1"/>
  <c r="W5" i="2" s="1"/>
  <c r="Y9" i="2" s="1"/>
  <c r="W8" i="2" s="1" a="1"/>
  <c r="W8" i="2" s="1"/>
  <c r="Y13" i="2" s="1"/>
  <c r="T6" i="2" l="1"/>
  <c r="R6" i="2" s="1" a="1"/>
  <c r="R6" i="2" s="1"/>
  <c r="R7" i="2" s="1"/>
  <c r="T10" i="2" s="1"/>
  <c r="R10" i="2" s="1" a="1"/>
  <c r="R10" i="2" s="1"/>
  <c r="W6" i="2"/>
  <c r="W9" i="2"/>
  <c r="M8" i="2"/>
  <c r="M6" i="2"/>
  <c r="O11" i="2" l="1"/>
  <c r="J3" i="2" s="1"/>
  <c r="R8" i="2"/>
  <c r="M9" i="2"/>
  <c r="R11" i="2" l="1"/>
  <c r="T14" i="2" s="1"/>
  <c r="I8" i="2" s="1"/>
  <c r="D31" i="8" l="1"/>
  <c r="R12" i="2"/>
  <c r="D32" i="8" l="1"/>
  <c r="H45" i="8" l="1"/>
  <c r="S18" i="9"/>
  <c r="D18" i="9" s="1"/>
  <c r="S17" i="9"/>
  <c r="D17" i="9" s="1"/>
  <c r="D30" i="8"/>
  <c r="S9" i="9"/>
  <c r="D9" i="9" s="1"/>
  <c r="S8" i="9"/>
  <c r="D8" i="9" s="1"/>
  <c r="D39" i="8"/>
  <c r="S16" i="9" l="1"/>
  <c r="D16" i="9" s="1"/>
  <c r="S15" i="9"/>
  <c r="D15" i="9" s="1"/>
  <c r="S6" i="9"/>
  <c r="D6" i="9" s="1"/>
  <c r="S7" i="9"/>
  <c r="D7" i="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91CE32-ED87-4CA2-9F20-FCDD2E749576}" keepAlive="1" name="Query - Credit Report Analysis" description="Connection to the 'Credit Report Analysis' query in the workbook." type="5" refreshedVersion="7" background="1" saveData="1">
    <dbPr connection="Provider=Microsoft.Mashup.OleDb.1;Data Source=$Workbook$;Location=&quot;Credit Report Analysis&quot;;Extended Properties=&quot;&quot;" command="SELECT * FROM [Credit Report Analysis]"/>
  </connection>
  <connection id="2" xr16:uid="{AB987846-8A39-4132-BDC1-A9012C2E0811}" keepAlive="1" name="Query - Page006" description="Connection to the 'Page006' query in the workbook." type="5" refreshedVersion="7" background="1" saveData="1">
    <dbPr connection="Provider=Microsoft.Mashup.OleDb.1;Data Source=$Workbook$;Location=Page006;Extended Properties=&quot;&quot;" command="SELECT * FROM [Page006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<sst xmlns="http://schemas.openxmlformats.org/spreadsheetml/2006/main" count="282" uniqueCount="122">
  <si>
    <t>H</t>
  </si>
  <si>
    <t>EXPLORING TO:</t>
  </si>
  <si>
    <t>DATE:</t>
  </si>
  <si>
    <t>REFERRAL SOURCE:</t>
  </si>
  <si>
    <t>LOAN TYPE:</t>
  </si>
  <si>
    <t>SPANISH SPEAKER</t>
  </si>
  <si>
    <t>CLIENT NAME:</t>
  </si>
  <si>
    <t>CO-BORROWERS NAME:</t>
  </si>
  <si>
    <t>PHONE NUMBER:</t>
  </si>
  <si>
    <t>EMAIL:</t>
  </si>
  <si>
    <t>CREDIT</t>
  </si>
  <si>
    <t>INCOME</t>
  </si>
  <si>
    <t>DEBTS</t>
  </si>
  <si>
    <t>SAVINGS</t>
  </si>
  <si>
    <t>DTI:</t>
  </si>
  <si>
    <t>RESIDENCY</t>
  </si>
  <si>
    <t>Revolving Debt =</t>
  </si>
  <si>
    <t>MAX PAYMENT:</t>
  </si>
  <si>
    <t xml:space="preserve">Auto Loans = </t>
  </si>
  <si>
    <t xml:space="preserve">Student Loans = 
</t>
  </si>
  <si>
    <t>Personal Loans =</t>
  </si>
  <si>
    <r>
      <t xml:space="preserve">Housing Payments </t>
    </r>
    <r>
      <rPr>
        <b/>
        <sz val="8"/>
        <color theme="1"/>
        <rFont val="Consolas"/>
        <family val="3"/>
      </rPr>
      <t>(Rent/Mortgage)</t>
    </r>
  </si>
  <si>
    <t>TYPE OF LOAN:</t>
  </si>
  <si>
    <t>Purchase Price</t>
  </si>
  <si>
    <t>Loan 
Amount</t>
  </si>
  <si>
    <t>1. BANK - P&amp;I</t>
  </si>
  <si>
    <t>2. PROPERTY TAXES</t>
  </si>
  <si>
    <t>3. HOMEOWNERS INS</t>
  </si>
  <si>
    <t>4. MORTGAGE INS</t>
  </si>
  <si>
    <t>5. HOA</t>
  </si>
  <si>
    <t>6. TOTAL PAYMENT</t>
  </si>
  <si>
    <t>Down Payment</t>
  </si>
  <si>
    <t>7. CASH TO CLOSE</t>
  </si>
  <si>
    <t>Interest Rate</t>
  </si>
  <si>
    <t>*ESTIMATED $60 X EVERY $10,000 OF LOAN AMOUNT</t>
  </si>
  <si>
    <t>$1590 + RSC</t>
  </si>
  <si>
    <t>$750 - $900</t>
  </si>
  <si>
    <t>$1,200 - $1,500</t>
  </si>
  <si>
    <t>$600 - $1,200</t>
  </si>
  <si>
    <t>Credit</t>
  </si>
  <si>
    <t>Income</t>
  </si>
  <si>
    <t>Debt</t>
  </si>
  <si>
    <t>Conventional</t>
  </si>
  <si>
    <t>FHA</t>
  </si>
  <si>
    <t>Max Payment</t>
  </si>
  <si>
    <t>Upfront</t>
  </si>
  <si>
    <t>Custom %</t>
  </si>
  <si>
    <t>Custom</t>
  </si>
  <si>
    <t>Debts</t>
  </si>
  <si>
    <t>Monthly</t>
  </si>
  <si>
    <t>Balance</t>
  </si>
  <si>
    <t>Exclude</t>
  </si>
  <si>
    <t>Revolving Debt</t>
  </si>
  <si>
    <t>Auto Loans</t>
  </si>
  <si>
    <t>Max Loan Amount</t>
  </si>
  <si>
    <t>Personal Loans</t>
  </si>
  <si>
    <t>P&amp;I</t>
  </si>
  <si>
    <t>Loan Amount</t>
  </si>
  <si>
    <t>Student Loans</t>
  </si>
  <si>
    <t>MI</t>
  </si>
  <si>
    <t>Collections</t>
  </si>
  <si>
    <t>Mortgages/Rent</t>
  </si>
  <si>
    <t xml:space="preserve"> </t>
  </si>
  <si>
    <t>Financed</t>
  </si>
  <si>
    <t>Maximum Purchase Price Controls</t>
  </si>
  <si>
    <t>DTI</t>
  </si>
  <si>
    <t>Max Total Loan Amount</t>
  </si>
  <si>
    <t>Monthly MI</t>
  </si>
  <si>
    <t>Single Premium</t>
  </si>
  <si>
    <t>New Formula</t>
  </si>
  <si>
    <t>Percent</t>
  </si>
  <si>
    <t>Fixed</t>
  </si>
  <si>
    <t>Financed MI</t>
  </si>
  <si>
    <t>Calculator Controls</t>
  </si>
  <si>
    <t>Max Purchase</t>
  </si>
  <si>
    <t>DPP</t>
  </si>
  <si>
    <t>DMP</t>
  </si>
  <si>
    <t>Single Premium MI</t>
  </si>
  <si>
    <t>x</t>
  </si>
  <si>
    <t>Desired Purchase Price Controls</t>
  </si>
  <si>
    <t>Chenoa Max Loan Amount</t>
  </si>
  <si>
    <t>Desired Payment</t>
  </si>
  <si>
    <t>Mo Payment</t>
  </si>
  <si>
    <t>Max Purchase MI</t>
  </si>
  <si>
    <t>Max Purchase P&amp;I</t>
  </si>
  <si>
    <t>Given Mo Pay</t>
  </si>
  <si>
    <t>DMP MI</t>
  </si>
  <si>
    <t>DMP P&amp;I</t>
  </si>
  <si>
    <t>Caculator On</t>
  </si>
  <si>
    <r>
      <rPr>
        <b/>
        <u/>
        <sz val="11"/>
        <color theme="1"/>
        <rFont val="Calibri"/>
        <family val="2"/>
        <scheme val="minor"/>
      </rPr>
      <t>Student Loans</t>
    </r>
    <r>
      <rPr>
        <b/>
        <sz val="11"/>
        <color theme="1"/>
        <rFont val="Calibri"/>
        <family val="2"/>
        <scheme val="minor"/>
      </rPr>
      <t xml:space="preserve">
Fannie Mae
Freddie Mac
FHA</t>
    </r>
  </si>
  <si>
    <t>Student Loans (VA Loans)</t>
  </si>
  <si>
    <t>Student Loans (Private)</t>
  </si>
  <si>
    <t>Collections (FHA)</t>
  </si>
  <si>
    <t>Mortgages</t>
  </si>
  <si>
    <t>creditor</t>
  </si>
  <si>
    <t>type</t>
  </si>
  <si>
    <t>Monthly Obligation</t>
  </si>
  <si>
    <t>Monthly Obligation (Don't Edit)</t>
  </si>
  <si>
    <t>TOTAL MONTHLY</t>
  </si>
  <si>
    <t>TOTAL BALANCE</t>
  </si>
  <si>
    <t>FHA w/ Financed MI</t>
  </si>
  <si>
    <t>FHA w/ Upfront MI</t>
  </si>
  <si>
    <t>Conventional Down Payment</t>
  </si>
  <si>
    <t>FHA Down Payment</t>
  </si>
  <si>
    <t>Conventional MI</t>
  </si>
  <si>
    <t>Amount</t>
  </si>
  <si>
    <t>FHA Upfront MI</t>
  </si>
  <si>
    <t>FHA MI</t>
  </si>
  <si>
    <t xml:space="preserve">Student Loans </t>
  </si>
  <si>
    <t>45% DTI Limit?</t>
  </si>
  <si>
    <t>Fannie Mae</t>
  </si>
  <si>
    <t>41% DTI Limit?</t>
  </si>
  <si>
    <t>Freddie Mac</t>
  </si>
  <si>
    <t>36% DTI Limit?</t>
  </si>
  <si>
    <t>FHA Loan Limits</t>
  </si>
  <si>
    <t>Maricopa &amp; Pinal</t>
  </si>
  <si>
    <t>Coconino</t>
  </si>
  <si>
    <t>Other Counties</t>
  </si>
  <si>
    <t>Exclude?</t>
  </si>
  <si>
    <t>Rate</t>
  </si>
  <si>
    <t>Price</t>
  </si>
  <si>
    <t>Term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</si>
</sst>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00%"/>
    <numFmt numFmtId="165" formatCode="0.0%"/>
    <numFmt numFmtId="166" formatCode="_(&quot;$&quot;* #,##0_);_(&quot;$&quot;* \(#,##0\);_(&quot;$&quot;* &quot;-&quot;??_);_(@_)"/>
    <numFmt numFmtId="167" formatCode="0.000"/>
    <numFmt numFmtId="168" formatCode="_([$$-409]* #,##0.00_);_([$$-409]* \(#,##0.00\);_([$$-409]* &quot;-&quot;??_);_(@_)"/>
    <numFmt numFmtId="169" formatCode="0.000000000000"/>
    <numFmt numFmtId="170" formatCode="0.0000000000000000000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9"/>
      <color theme="1"/>
      <name val="Consolas"/>
      <family val="3"/>
    </font>
    <font>
      <b/>
      <sz val="10"/>
      <color theme="1"/>
      <name val="Consolas"/>
      <family val="3"/>
    </font>
    <font>
      <b/>
      <sz val="11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1"/>
      <name val="Consolas"/>
      <family val="3"/>
    </font>
    <font>
      <sz val="11"/>
      <color theme="1"/>
      <name val="Consolas"/>
      <family val="3"/>
    </font>
    <font>
      <b/>
      <sz val="16"/>
      <color theme="1"/>
      <name val="Consolas"/>
      <family val="3"/>
    </font>
    <font>
      <b/>
      <sz val="18"/>
      <color theme="1"/>
      <name val="Consolas"/>
      <family val="3"/>
    </font>
    <font>
      <b/>
      <u/>
      <sz val="11"/>
      <color theme="1"/>
      <name val="Consolas"/>
      <family val="3"/>
    </font>
    <font>
      <b/>
      <sz val="8"/>
      <color theme="1"/>
      <name val="Consolas"/>
      <family val="3"/>
    </font>
    <font>
      <b/>
      <u/>
      <sz val="12"/>
      <color theme="1"/>
      <name val="Consolas"/>
      <family val="3"/>
    </font>
    <font>
      <b/>
      <sz val="13"/>
      <color theme="1"/>
      <name val="Consolas"/>
      <family val="3"/>
    </font>
    <font>
      <sz val="12"/>
      <color theme="1"/>
      <name val="Consolas"/>
      <family val="3"/>
    </font>
    <font>
      <b/>
      <sz val="11"/>
      <color theme="2" tint="-0.249977111117893"/>
      <name val="Consolas"/>
      <family val="3"/>
    </font>
    <font>
      <sz val="10"/>
      <color theme="1"/>
      <name val="Consolas"/>
      <family val="3"/>
    </font>
    <font>
      <b/>
      <sz val="14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E8E1E1"/>
        <bgColor indexed="64"/>
      </patternFill>
    </fill>
    <fill>
      <patternFill patternType="solid">
        <fgColor theme="1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Dashed">
        <color theme="0" tint="-0.249977111117893"/>
      </top>
      <bottom style="thin">
        <color indexed="64"/>
      </bottom>
      <diagonal/>
    </border>
    <border>
      <left style="mediumDashed">
        <color theme="0" tint="-0.249977111117893"/>
      </left>
      <right style="thin">
        <color indexed="64"/>
      </right>
      <top style="mediumDashed">
        <color theme="0" tint="-0.249977111117893"/>
      </top>
      <bottom style="thin">
        <color indexed="64"/>
      </bottom>
      <diagonal/>
    </border>
    <border>
      <left style="mediumDashed">
        <color theme="0" tint="-0.249977111117893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theme="0" tint="-0.249977111117893"/>
      </right>
      <top style="mediumDashed">
        <color theme="0" tint="-0.249977111117893"/>
      </top>
      <bottom style="thin">
        <color indexed="64"/>
      </bottom>
      <diagonal/>
    </border>
    <border>
      <left style="thin">
        <color indexed="64"/>
      </left>
      <right style="mediumDashed">
        <color theme="0" tint="-0.249977111117893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Dashed">
        <color theme="2" tint="-9.9978637043366805E-2"/>
      </right>
      <top style="thin">
        <color indexed="64"/>
      </top>
      <bottom/>
      <diagonal/>
    </border>
    <border>
      <left/>
      <right style="mediumDashed">
        <color theme="2" tint="-9.9978637043366805E-2"/>
      </right>
      <top/>
      <bottom/>
      <diagonal/>
    </border>
    <border>
      <left/>
      <right style="mediumDashed">
        <color theme="2" tint="-9.9978637043366805E-2"/>
      </right>
      <top/>
      <bottom style="thin">
        <color indexed="64"/>
      </bottom>
      <diagonal/>
    </border>
    <border>
      <left style="mediumDashed">
        <color theme="2" tint="-9.9978637043366805E-2"/>
      </left>
      <right/>
      <top/>
      <bottom/>
      <diagonal/>
    </border>
    <border>
      <left style="mediumDashed">
        <color theme="2" tint="-9.9978637043366805E-2"/>
      </left>
      <right/>
      <top/>
      <bottom style="thin">
        <color indexed="64"/>
      </bottom>
      <diagonal/>
    </border>
    <border>
      <left/>
      <right style="mediumDashed">
        <color theme="2" tint="-9.9978637043366805E-2"/>
      </right>
      <top style="thin">
        <color indexed="64"/>
      </top>
      <bottom style="thin">
        <color indexed="64"/>
      </bottom>
      <diagonal/>
    </border>
    <border>
      <left style="mediumDashed">
        <color theme="2" tint="-9.9978637043366805E-2"/>
      </left>
      <right/>
      <top style="thin">
        <color indexed="64"/>
      </top>
      <bottom style="thin">
        <color indexed="64"/>
      </bottom>
      <diagonal/>
    </border>
    <border>
      <left/>
      <right style="mediumDashed">
        <color theme="2" tint="-9.9978637043366805E-2"/>
      </right>
      <top style="mediumDashed">
        <color theme="2" tint="-9.9978637043366805E-2"/>
      </top>
      <bottom style="thin">
        <color indexed="64"/>
      </bottom>
      <diagonal/>
    </border>
    <border>
      <left/>
      <right/>
      <top style="mediumDashed">
        <color theme="2" tint="-9.9978637043366805E-2"/>
      </top>
      <bottom/>
      <diagonal/>
    </border>
    <border>
      <left/>
      <right style="mediumDashed">
        <color theme="2" tint="-9.9978637043366805E-2"/>
      </right>
      <top style="mediumDashed">
        <color theme="2" tint="-9.9978637043366805E-2"/>
      </top>
      <bottom/>
      <diagonal/>
    </border>
    <border>
      <left style="mediumDashed">
        <color theme="2" tint="-9.9978637043366805E-2"/>
      </left>
      <right/>
      <top style="mediumDashed">
        <color theme="2" tint="-9.9978637043366805E-2"/>
      </top>
      <bottom/>
      <diagonal/>
    </border>
    <border>
      <left/>
      <right/>
      <top style="mediumDashed">
        <color theme="2" tint="-9.9978637043366805E-2"/>
      </top>
      <bottom style="thin">
        <color indexed="64"/>
      </bottom>
      <diagonal/>
    </border>
    <border>
      <left style="mediumDashed">
        <color theme="2" tint="-9.9978637043366805E-2"/>
      </left>
      <right/>
      <top style="mediumDashed">
        <color theme="2" tint="-9.9978637043366805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Dashed">
        <color theme="2" tint="-9.9978637043366805E-2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1">
    <xf numFmtId="0" fontId="0" fillId="0" borderId="0" xfId="0"/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8" fontId="0" fillId="0" borderId="0" xfId="0" applyNumberFormat="1"/>
    <xf numFmtId="44" fontId="0" fillId="0" borderId="1" xfId="2" applyFont="1" applyBorder="1"/>
    <xf numFmtId="0" fontId="0" fillId="0" borderId="1" xfId="0" applyBorder="1"/>
    <xf numFmtId="10" fontId="0" fillId="0" borderId="1" xfId="0" applyNumberFormat="1" applyBorder="1"/>
    <xf numFmtId="0" fontId="2" fillId="5" borderId="1" xfId="0" applyFont="1" applyFill="1" applyBorder="1"/>
    <xf numFmtId="44" fontId="2" fillId="6" borderId="1" xfId="2" applyFont="1" applyFill="1" applyBorder="1"/>
    <xf numFmtId="44" fontId="2" fillId="7" borderId="1" xfId="2" applyFont="1" applyFill="1" applyBorder="1"/>
    <xf numFmtId="8" fontId="0" fillId="0" borderId="1" xfId="0" applyNumberFormat="1" applyBorder="1"/>
    <xf numFmtId="0" fontId="0" fillId="0" borderId="0" xfId="0" applyAlignment="1">
      <alignment horizontal="center"/>
    </xf>
    <xf numFmtId="44" fontId="2" fillId="0" borderId="0" xfId="2" applyFont="1" applyFill="1" applyBorder="1"/>
    <xf numFmtId="44" fontId="0" fillId="0" borderId="0" xfId="2" applyFont="1" applyBorder="1"/>
    <xf numFmtId="0" fontId="0" fillId="0" borderId="0" xfId="0" applyAlignment="1">
      <alignment vertical="center"/>
    </xf>
    <xf numFmtId="44" fontId="0" fillId="12" borderId="9" xfId="2" applyFont="1" applyFill="1" applyBorder="1"/>
    <xf numFmtId="0" fontId="0" fillId="0" borderId="2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0" borderId="1" xfId="0" applyFont="1" applyBorder="1" applyAlignment="1">
      <alignment horizontal="center"/>
    </xf>
    <xf numFmtId="44" fontId="0" fillId="0" borderId="1" xfId="0" applyNumberFormat="1" applyBorder="1" applyAlignment="1">
      <alignment horizontal="center"/>
    </xf>
    <xf numFmtId="44" fontId="0" fillId="12" borderId="28" xfId="2" applyFont="1" applyFill="1" applyBorder="1"/>
    <xf numFmtId="0" fontId="0" fillId="12" borderId="28" xfId="0" applyFill="1" applyBorder="1"/>
    <xf numFmtId="0" fontId="0" fillId="12" borderId="21" xfId="0" applyFill="1" applyBorder="1"/>
    <xf numFmtId="0" fontId="0" fillId="12" borderId="19" xfId="0" applyFill="1" applyBorder="1"/>
    <xf numFmtId="0" fontId="0" fillId="12" borderId="8" xfId="0" applyFill="1" applyBorder="1"/>
    <xf numFmtId="44" fontId="0" fillId="12" borderId="19" xfId="2" applyFont="1" applyFill="1" applyBorder="1"/>
    <xf numFmtId="44" fontId="0" fillId="12" borderId="8" xfId="2" applyFont="1" applyFill="1" applyBorder="1"/>
    <xf numFmtId="44" fontId="0" fillId="12" borderId="7" xfId="2" applyFont="1" applyFill="1" applyBorder="1"/>
    <xf numFmtId="44" fontId="0" fillId="12" borderId="29" xfId="2" applyFont="1" applyFill="1" applyBorder="1"/>
    <xf numFmtId="44" fontId="0" fillId="12" borderId="30" xfId="2" applyFont="1" applyFill="1" applyBorder="1"/>
    <xf numFmtId="0" fontId="3" fillId="14" borderId="31" xfId="0" applyFont="1" applyFill="1" applyBorder="1" applyAlignment="1">
      <alignment horizontal="center"/>
    </xf>
    <xf numFmtId="0" fontId="3" fillId="14" borderId="32" xfId="0" applyFont="1" applyFill="1" applyBorder="1" applyAlignment="1">
      <alignment horizontal="center"/>
    </xf>
    <xf numFmtId="44" fontId="0" fillId="12" borderId="20" xfId="2" applyFont="1" applyFill="1" applyBorder="1"/>
    <xf numFmtId="44" fontId="0" fillId="12" borderId="16" xfId="2" applyFont="1" applyFill="1" applyBorder="1"/>
    <xf numFmtId="0" fontId="3" fillId="15" borderId="26" xfId="0" applyFont="1" applyFill="1" applyBorder="1" applyAlignment="1">
      <alignment horizontal="center"/>
    </xf>
    <xf numFmtId="0" fontId="3" fillId="15" borderId="27" xfId="0" applyFont="1" applyFill="1" applyBorder="1" applyAlignment="1">
      <alignment horizontal="center"/>
    </xf>
    <xf numFmtId="44" fontId="0" fillId="6" borderId="20" xfId="2" applyFont="1" applyFill="1" applyBorder="1"/>
    <xf numFmtId="44" fontId="0" fillId="6" borderId="16" xfId="2" applyFont="1" applyFill="1" applyBorder="1"/>
    <xf numFmtId="44" fontId="0" fillId="6" borderId="8" xfId="2" applyFont="1" applyFill="1" applyBorder="1"/>
    <xf numFmtId="44" fontId="0" fillId="6" borderId="9" xfId="2" applyFont="1" applyFill="1" applyBorder="1"/>
    <xf numFmtId="0" fontId="0" fillId="6" borderId="8" xfId="0" applyFill="1" applyBorder="1"/>
    <xf numFmtId="0" fontId="0" fillId="6" borderId="10" xfId="0" applyFill="1" applyBorder="1"/>
    <xf numFmtId="44" fontId="0" fillId="6" borderId="11" xfId="2" applyFont="1" applyFill="1" applyBorder="1"/>
    <xf numFmtId="0" fontId="2" fillId="11" borderId="14" xfId="0" applyFont="1" applyFill="1" applyBorder="1"/>
    <xf numFmtId="0" fontId="2" fillId="11" borderId="15" xfId="0" applyFont="1" applyFill="1" applyBorder="1"/>
    <xf numFmtId="0" fontId="2" fillId="9" borderId="20" xfId="0" applyFont="1" applyFill="1" applyBorder="1"/>
    <xf numFmtId="0" fontId="2" fillId="9" borderId="16" xfId="0" applyFont="1" applyFill="1" applyBorder="1"/>
    <xf numFmtId="0" fontId="0" fillId="0" borderId="40" xfId="0" applyBorder="1"/>
    <xf numFmtId="0" fontId="0" fillId="0" borderId="41" xfId="0" applyBorder="1"/>
    <xf numFmtId="0" fontId="0" fillId="0" borderId="28" xfId="0" applyBorder="1" applyAlignment="1">
      <alignment horizontal="center"/>
    </xf>
    <xf numFmtId="44" fontId="0" fillId="0" borderId="16" xfId="0" applyNumberFormat="1" applyBorder="1" applyAlignment="1">
      <alignment horizontal="center"/>
    </xf>
    <xf numFmtId="44" fontId="0" fillId="0" borderId="9" xfId="0" applyNumberFormat="1" applyBorder="1" applyAlignment="1">
      <alignment horizontal="center"/>
    </xf>
    <xf numFmtId="44" fontId="0" fillId="0" borderId="11" xfId="0" applyNumberFormat="1" applyBorder="1" applyAlignment="1">
      <alignment horizontal="center"/>
    </xf>
    <xf numFmtId="0" fontId="0" fillId="0" borderId="42" xfId="0" applyBorder="1"/>
    <xf numFmtId="0" fontId="0" fillId="0" borderId="33" xfId="0" applyBorder="1" applyAlignment="1">
      <alignment horizontal="center"/>
    </xf>
    <xf numFmtId="44" fontId="0" fillId="0" borderId="7" xfId="0" applyNumberFormat="1" applyBorder="1"/>
    <xf numFmtId="0" fontId="0" fillId="0" borderId="43" xfId="0" applyBorder="1"/>
    <xf numFmtId="0" fontId="0" fillId="0" borderId="44" xfId="0" applyBorder="1"/>
    <xf numFmtId="0" fontId="2" fillId="9" borderId="31" xfId="0" applyFont="1" applyFill="1" applyBorder="1"/>
    <xf numFmtId="0" fontId="2" fillId="9" borderId="32" xfId="0" applyFont="1" applyFill="1" applyBorder="1"/>
    <xf numFmtId="0" fontId="2" fillId="11" borderId="31" xfId="0" applyFont="1" applyFill="1" applyBorder="1"/>
    <xf numFmtId="0" fontId="2" fillId="11" borderId="32" xfId="0" applyFont="1" applyFill="1" applyBorder="1"/>
    <xf numFmtId="0" fontId="2" fillId="0" borderId="0" xfId="0" applyFont="1" applyAlignment="1">
      <alignment horizontal="center"/>
    </xf>
    <xf numFmtId="44" fontId="2" fillId="0" borderId="0" xfId="1" applyNumberFormat="1" applyFont="1" applyFill="1" applyBorder="1" applyAlignment="1"/>
    <xf numFmtId="44" fontId="0" fillId="0" borderId="0" xfId="0" applyNumberFormat="1"/>
    <xf numFmtId="0" fontId="2" fillId="13" borderId="33" xfId="0" applyFont="1" applyFill="1" applyBorder="1" applyAlignment="1">
      <alignment horizontal="center"/>
    </xf>
    <xf numFmtId="44" fontId="0" fillId="2" borderId="20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9" borderId="14" xfId="0" applyFont="1" applyFill="1" applyBorder="1"/>
    <xf numFmtId="0" fontId="2" fillId="9" borderId="15" xfId="0" applyFont="1" applyFill="1" applyBorder="1"/>
    <xf numFmtId="44" fontId="0" fillId="6" borderId="32" xfId="2" applyFont="1" applyFill="1" applyBorder="1"/>
    <xf numFmtId="8" fontId="2" fillId="0" borderId="0" xfId="0" applyNumberFormat="1" applyFont="1"/>
    <xf numFmtId="9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44" fontId="0" fillId="0" borderId="1" xfId="2" quotePrefix="1" applyFont="1" applyBorder="1"/>
    <xf numFmtId="0" fontId="7" fillId="4" borderId="0" xfId="0" applyFont="1" applyFill="1"/>
    <xf numFmtId="0" fontId="7" fillId="0" borderId="0" xfId="0" applyFont="1"/>
    <xf numFmtId="0" fontId="6" fillId="4" borderId="0" xfId="0" applyFont="1" applyFill="1" applyAlignment="1">
      <alignment horizontal="center"/>
    </xf>
    <xf numFmtId="0" fontId="6" fillId="4" borderId="0" xfId="0" applyFont="1" applyFill="1" applyAlignment="1">
      <alignment horizontal="left"/>
    </xf>
    <xf numFmtId="0" fontId="7" fillId="4" borderId="0" xfId="0" applyFont="1" applyFill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vertical="center"/>
    </xf>
    <xf numFmtId="0" fontId="5" fillId="4" borderId="0" xfId="0" applyFont="1" applyFill="1" applyAlignment="1">
      <alignment horizontal="left"/>
    </xf>
    <xf numFmtId="0" fontId="7" fillId="16" borderId="0" xfId="0" applyFont="1" applyFill="1"/>
    <xf numFmtId="0" fontId="7" fillId="7" borderId="0" xfId="0" applyFont="1" applyFill="1"/>
    <xf numFmtId="0" fontId="13" fillId="7" borderId="0" xfId="0" applyFont="1" applyFill="1" applyAlignment="1">
      <alignment vertical="top"/>
    </xf>
    <xf numFmtId="0" fontId="5" fillId="7" borderId="0" xfId="0" applyFont="1" applyFill="1"/>
    <xf numFmtId="0" fontId="5" fillId="7" borderId="0" xfId="0" applyFont="1" applyFill="1" applyAlignment="1">
      <alignment horizontal="center"/>
    </xf>
    <xf numFmtId="0" fontId="6" fillId="7" borderId="0" xfId="0" applyFont="1" applyFill="1"/>
    <xf numFmtId="0" fontId="5" fillId="7" borderId="0" xfId="0" applyFont="1" applyFill="1" applyAlignment="1">
      <alignment horizontal="left"/>
    </xf>
    <xf numFmtId="0" fontId="14" fillId="7" borderId="0" xfId="0" applyFont="1" applyFill="1" applyAlignment="1">
      <alignment horizontal="left" vertical="top" wrapText="1"/>
    </xf>
    <xf numFmtId="0" fontId="6" fillId="7" borderId="0" xfId="0" applyFont="1" applyFill="1" applyAlignment="1">
      <alignment horizontal="left" vertical="top" wrapText="1"/>
    </xf>
    <xf numFmtId="0" fontId="14" fillId="7" borderId="0" xfId="0" applyFont="1" applyFill="1" applyAlignment="1">
      <alignment vertical="top"/>
    </xf>
    <xf numFmtId="0" fontId="7" fillId="17" borderId="0" xfId="0" applyFont="1" applyFill="1"/>
    <xf numFmtId="0" fontId="8" fillId="7" borderId="0" xfId="0" applyFont="1" applyFill="1"/>
    <xf numFmtId="0" fontId="9" fillId="16" borderId="0" xfId="0" applyFont="1" applyFill="1" applyAlignment="1">
      <alignment horizontal="left"/>
    </xf>
    <xf numFmtId="0" fontId="9" fillId="16" borderId="0" xfId="0" applyFont="1" applyFill="1"/>
    <xf numFmtId="0" fontId="9" fillId="16" borderId="0" xfId="0" applyFont="1" applyFill="1" applyAlignment="1">
      <alignment horizontal="center"/>
    </xf>
    <xf numFmtId="0" fontId="5" fillId="4" borderId="0" xfId="0" applyFont="1" applyFill="1"/>
    <xf numFmtId="0" fontId="6" fillId="4" borderId="0" xfId="0" applyFont="1" applyFill="1"/>
    <xf numFmtId="0" fontId="0" fillId="4" borderId="23" xfId="0" applyFill="1" applyBorder="1"/>
    <xf numFmtId="0" fontId="2" fillId="7" borderId="36" xfId="1" applyNumberFormat="1" applyFont="1" applyFill="1" applyBorder="1" applyAlignment="1"/>
    <xf numFmtId="0" fontId="0" fillId="13" borderId="58" xfId="0" applyFill="1" applyBorder="1"/>
    <xf numFmtId="0" fontId="2" fillId="7" borderId="59" xfId="1" applyNumberFormat="1" applyFont="1" applyFill="1" applyBorder="1" applyAlignment="1"/>
    <xf numFmtId="0" fontId="0" fillId="13" borderId="36" xfId="0" applyFill="1" applyBorder="1"/>
    <xf numFmtId="44" fontId="2" fillId="7" borderId="39" xfId="1" applyNumberFormat="1" applyFont="1" applyFill="1" applyBorder="1" applyAlignment="1"/>
    <xf numFmtId="0" fontId="2" fillId="8" borderId="40" xfId="0" applyFont="1" applyFill="1" applyBorder="1" applyAlignment="1">
      <alignment horizontal="center"/>
    </xf>
    <xf numFmtId="44" fontId="0" fillId="2" borderId="16" xfId="0" applyNumberFormat="1" applyFill="1" applyBorder="1"/>
    <xf numFmtId="44" fontId="0" fillId="5" borderId="8" xfId="0" applyNumberFormat="1" applyFill="1" applyBorder="1" applyAlignment="1">
      <alignment horizontal="center"/>
    </xf>
    <xf numFmtId="44" fontId="0" fillId="5" borderId="9" xfId="0" applyNumberFormat="1" applyFill="1" applyBorder="1"/>
    <xf numFmtId="44" fontId="0" fillId="2" borderId="8" xfId="0" applyNumberFormat="1" applyFill="1" applyBorder="1" applyAlignment="1">
      <alignment horizontal="center"/>
    </xf>
    <xf numFmtId="44" fontId="0" fillId="2" borderId="9" xfId="0" applyNumberFormat="1" applyFill="1" applyBorder="1"/>
    <xf numFmtId="44" fontId="0" fillId="5" borderId="12" xfId="0" applyNumberFormat="1" applyFill="1" applyBorder="1" applyAlignment="1">
      <alignment horizontal="center"/>
    </xf>
    <xf numFmtId="44" fontId="0" fillId="5" borderId="11" xfId="0" applyNumberFormat="1" applyFill="1" applyBorder="1"/>
    <xf numFmtId="0" fontId="8" fillId="17" borderId="0" xfId="0" applyFont="1" applyFill="1"/>
    <xf numFmtId="0" fontId="14" fillId="18" borderId="0" xfId="0" applyFont="1" applyFill="1" applyAlignment="1">
      <alignment vertical="top"/>
    </xf>
    <xf numFmtId="0" fontId="0" fillId="0" borderId="3" xfId="0" applyBorder="1"/>
    <xf numFmtId="0" fontId="0" fillId="0" borderId="1" xfId="0" applyBorder="1" applyAlignment="1">
      <alignment horizontal="center" wrapText="1"/>
    </xf>
    <xf numFmtId="44" fontId="0" fillId="0" borderId="1" xfId="2" applyFont="1" applyBorder="1" applyAlignment="1">
      <alignment horizontal="center"/>
    </xf>
    <xf numFmtId="0" fontId="7" fillId="7" borderId="0" xfId="0" applyFont="1" applyFill="1" applyAlignment="1">
      <alignment vertical="center"/>
    </xf>
    <xf numFmtId="9" fontId="7" fillId="7" borderId="0" xfId="0" applyNumberFormat="1" applyFont="1" applyFill="1" applyAlignment="1">
      <alignment horizontal="left" vertical="center"/>
    </xf>
    <xf numFmtId="9" fontId="8" fillId="7" borderId="0" xfId="0" applyNumberFormat="1" applyFont="1" applyFill="1" applyAlignment="1">
      <alignment vertical="center"/>
    </xf>
    <xf numFmtId="0" fontId="14" fillId="7" borderId="0" xfId="0" applyFont="1" applyFill="1" applyAlignment="1">
      <alignment vertical="top" wrapText="1"/>
    </xf>
    <xf numFmtId="44" fontId="0" fillId="0" borderId="2" xfId="2" applyFont="1" applyBorder="1"/>
    <xf numFmtId="0" fontId="0" fillId="0" borderId="8" xfId="0" applyBorder="1"/>
    <xf numFmtId="0" fontId="0" fillId="0" borderId="18" xfId="0" applyBorder="1"/>
    <xf numFmtId="0" fontId="0" fillId="0" borderId="12" xfId="0" applyBorder="1"/>
    <xf numFmtId="0" fontId="0" fillId="0" borderId="22" xfId="0" applyBorder="1"/>
    <xf numFmtId="0" fontId="0" fillId="0" borderId="60" xfId="0" applyBorder="1"/>
    <xf numFmtId="167" fontId="0" fillId="0" borderId="61" xfId="0" applyNumberFormat="1" applyBorder="1"/>
    <xf numFmtId="0" fontId="2" fillId="0" borderId="0" xfId="1" applyNumberFormat="1" applyFont="1" applyFill="1" applyBorder="1" applyAlignment="1"/>
    <xf numFmtId="167" fontId="0" fillId="0" borderId="62" xfId="0" applyNumberFormat="1" applyBorder="1"/>
    <xf numFmtId="0" fontId="0" fillId="0" borderId="6" xfId="0" applyBorder="1"/>
    <xf numFmtId="0" fontId="0" fillId="0" borderId="61" xfId="0" applyBorder="1"/>
    <xf numFmtId="0" fontId="0" fillId="19" borderId="33" xfId="0" applyFill="1" applyBorder="1"/>
    <xf numFmtId="44" fontId="7" fillId="17" borderId="0" xfId="2" applyFont="1" applyFill="1" applyBorder="1" applyAlignment="1"/>
    <xf numFmtId="0" fontId="0" fillId="20" borderId="0" xfId="0" applyFill="1"/>
    <xf numFmtId="0" fontId="7" fillId="7" borderId="64" xfId="0" applyFont="1" applyFill="1" applyBorder="1"/>
    <xf numFmtId="0" fontId="6" fillId="17" borderId="0" xfId="0" applyFont="1" applyFill="1" applyAlignment="1">
      <alignment wrapText="1"/>
    </xf>
    <xf numFmtId="0" fontId="8" fillId="17" borderId="0" xfId="0" applyFont="1" applyFill="1" applyAlignment="1">
      <alignment wrapText="1"/>
    </xf>
    <xf numFmtId="0" fontId="7" fillId="21" borderId="0" xfId="0" applyFont="1" applyFill="1"/>
    <xf numFmtId="44" fontId="0" fillId="0" borderId="1" xfId="0" applyNumberFormat="1" applyBorder="1"/>
    <xf numFmtId="44" fontId="0" fillId="0" borderId="76" xfId="2" applyFont="1" applyBorder="1"/>
    <xf numFmtId="168" fontId="0" fillId="0" borderId="1" xfId="0" applyNumberFormat="1" applyBorder="1"/>
    <xf numFmtId="0" fontId="6" fillId="22" borderId="46" xfId="0" applyFont="1" applyFill="1" applyBorder="1" applyAlignment="1">
      <alignment horizontal="center"/>
    </xf>
    <xf numFmtId="0" fontId="6" fillId="22" borderId="45" xfId="0" applyFont="1" applyFill="1" applyBorder="1" applyAlignment="1">
      <alignment horizontal="center"/>
    </xf>
    <xf numFmtId="0" fontId="6" fillId="22" borderId="45" xfId="0" applyFont="1" applyFill="1" applyBorder="1" applyAlignment="1">
      <alignment horizontal="left"/>
    </xf>
    <xf numFmtId="0" fontId="7" fillId="22" borderId="45" xfId="0" applyFont="1" applyFill="1" applyBorder="1" applyAlignment="1">
      <alignment horizontal="center"/>
    </xf>
    <xf numFmtId="0" fontId="7" fillId="22" borderId="0" xfId="0" applyFont="1" applyFill="1" applyAlignment="1">
      <alignment horizontal="center"/>
    </xf>
    <xf numFmtId="0" fontId="7" fillId="22" borderId="51" xfId="0" applyFont="1" applyFill="1" applyBorder="1" applyAlignment="1">
      <alignment horizontal="center"/>
    </xf>
    <xf numFmtId="0" fontId="7" fillId="22" borderId="0" xfId="0" applyFont="1" applyFill="1" applyAlignment="1">
      <alignment horizontal="left"/>
    </xf>
    <xf numFmtId="0" fontId="8" fillId="22" borderId="0" xfId="0" applyFont="1" applyFill="1"/>
    <xf numFmtId="0" fontId="8" fillId="22" borderId="0" xfId="0" applyFont="1" applyFill="1" applyAlignment="1">
      <alignment horizontal="left"/>
    </xf>
    <xf numFmtId="0" fontId="7" fillId="22" borderId="0" xfId="0" applyFont="1" applyFill="1" applyAlignment="1">
      <alignment vertical="center"/>
    </xf>
    <xf numFmtId="0" fontId="7" fillId="22" borderId="0" xfId="0" applyFont="1" applyFill="1" applyAlignment="1">
      <alignment horizontal="center" vertical="center"/>
    </xf>
    <xf numFmtId="0" fontId="7" fillId="22" borderId="0" xfId="0" applyFont="1" applyFill="1" applyAlignment="1">
      <alignment horizontal="left" vertical="center"/>
    </xf>
    <xf numFmtId="0" fontId="7" fillId="22" borderId="0" xfId="0" applyFont="1" applyFill="1"/>
    <xf numFmtId="0" fontId="8" fillId="22" borderId="0" xfId="0" applyFont="1" applyFill="1" applyProtection="1">
      <protection locked="0"/>
    </xf>
    <xf numFmtId="0" fontId="7" fillId="22" borderId="51" xfId="0" applyFont="1" applyFill="1" applyBorder="1"/>
    <xf numFmtId="0" fontId="7" fillId="22" borderId="48" xfId="0" applyFont="1" applyFill="1" applyBorder="1" applyAlignment="1">
      <alignment horizontal="center"/>
    </xf>
    <xf numFmtId="0" fontId="8" fillId="22" borderId="50" xfId="0" applyFont="1" applyFill="1" applyBorder="1"/>
    <xf numFmtId="0" fontId="7" fillId="22" borderId="50" xfId="0" applyFont="1" applyFill="1" applyBorder="1" applyAlignment="1">
      <alignment horizontal="center"/>
    </xf>
    <xf numFmtId="0" fontId="7" fillId="22" borderId="47" xfId="0" applyFont="1" applyFill="1" applyBorder="1" applyAlignment="1">
      <alignment horizontal="center"/>
    </xf>
    <xf numFmtId="0" fontId="7" fillId="22" borderId="52" xfId="0" applyFont="1" applyFill="1" applyBorder="1" applyAlignment="1">
      <alignment horizontal="center"/>
    </xf>
    <xf numFmtId="0" fontId="7" fillId="22" borderId="49" xfId="0" applyFont="1" applyFill="1" applyBorder="1" applyAlignment="1">
      <alignment horizontal="center"/>
    </xf>
    <xf numFmtId="0" fontId="7" fillId="22" borderId="50" xfId="0" applyFont="1" applyFill="1" applyBorder="1"/>
    <xf numFmtId="0" fontId="6" fillId="22" borderId="45" xfId="0" applyFont="1" applyFill="1" applyBorder="1"/>
    <xf numFmtId="14" fontId="6" fillId="22" borderId="45" xfId="0" applyNumberFormat="1" applyFont="1" applyFill="1" applyBorder="1" applyProtection="1">
      <protection locked="0"/>
    </xf>
    <xf numFmtId="0" fontId="7" fillId="22" borderId="0" xfId="0" applyFont="1" applyFill="1" applyProtection="1">
      <protection locked="0"/>
    </xf>
    <xf numFmtId="14" fontId="6" fillId="22" borderId="0" xfId="0" applyNumberFormat="1" applyFont="1" applyFill="1" applyProtection="1">
      <protection locked="0"/>
    </xf>
    <xf numFmtId="0" fontId="6" fillId="22" borderId="52" xfId="0" applyFont="1" applyFill="1" applyBorder="1" applyAlignment="1">
      <alignment horizontal="center" vertical="center"/>
    </xf>
    <xf numFmtId="0" fontId="7" fillId="22" borderId="52" xfId="0" applyFont="1" applyFill="1" applyBorder="1"/>
    <xf numFmtId="0" fontId="6" fillId="22" borderId="52" xfId="0" applyFont="1" applyFill="1" applyBorder="1" applyAlignment="1">
      <alignment horizontal="center"/>
    </xf>
    <xf numFmtId="0" fontId="6" fillId="22" borderId="48" xfId="0" applyFont="1" applyFill="1" applyBorder="1"/>
    <xf numFmtId="0" fontId="6" fillId="22" borderId="50" xfId="0" applyFont="1" applyFill="1" applyBorder="1"/>
    <xf numFmtId="0" fontId="6" fillId="22" borderId="50" xfId="0" applyFont="1" applyFill="1" applyBorder="1" applyAlignment="1">
      <alignment horizontal="center"/>
    </xf>
    <xf numFmtId="0" fontId="6" fillId="22" borderId="49" xfId="0" applyFont="1" applyFill="1" applyBorder="1" applyAlignment="1">
      <alignment horizontal="center"/>
    </xf>
    <xf numFmtId="0" fontId="14" fillId="7" borderId="66" xfId="0" applyFont="1" applyFill="1" applyBorder="1" applyAlignment="1">
      <alignment horizontal="left" vertical="top" wrapText="1"/>
    </xf>
    <xf numFmtId="0" fontId="18" fillId="21" borderId="0" xfId="0" applyFont="1" applyFill="1"/>
    <xf numFmtId="169" fontId="0" fillId="0" borderId="0" xfId="0" applyNumberFormat="1"/>
    <xf numFmtId="170" fontId="0" fillId="0" borderId="1" xfId="0" applyNumberFormat="1" applyBorder="1" applyAlignment="1">
      <alignment horizontal="center"/>
    </xf>
    <xf numFmtId="0" fontId="2" fillId="0" borderId="0" xfId="0" applyFont="1"/>
    <xf numFmtId="0" fontId="0" fillId="0" borderId="61" xfId="0" applyBorder="1" applyAlignment="1">
      <alignment horizontal="center"/>
    </xf>
    <xf numFmtId="44" fontId="0" fillId="0" borderId="61" xfId="2" applyFont="1" applyBorder="1"/>
    <xf numFmtId="0" fontId="2" fillId="0" borderId="60" xfId="0" applyFont="1" applyBorder="1" applyAlignment="1">
      <alignment horizontal="center"/>
    </xf>
    <xf numFmtId="44" fontId="2" fillId="0" borderId="60" xfId="2" applyFont="1" applyBorder="1"/>
    <xf numFmtId="44" fontId="0" fillId="0" borderId="0" xfId="2" applyFont="1"/>
    <xf numFmtId="44" fontId="2" fillId="0" borderId="0" xfId="2" applyFont="1"/>
    <xf numFmtId="164" fontId="0" fillId="0" borderId="0" xfId="1" applyNumberFormat="1" applyFont="1"/>
    <xf numFmtId="164" fontId="0" fillId="0" borderId="1" xfId="1" applyNumberFormat="1" applyFont="1" applyBorder="1"/>
    <xf numFmtId="0" fontId="0" fillId="0" borderId="0" xfId="0" applyAlignment="1">
      <alignment horizontal="center" vertical="center"/>
    </xf>
    <xf numFmtId="0" fontId="0" fillId="23" borderId="0" xfId="0" applyFill="1"/>
    <xf numFmtId="0" fontId="0" fillId="23" borderId="0" xfId="0" applyFill="1" applyAlignment="1">
      <alignment horizontal="right"/>
    </xf>
    <xf numFmtId="10" fontId="0" fillId="23" borderId="0" xfId="1" applyNumberFormat="1" applyFont="1" applyFill="1"/>
    <xf numFmtId="9" fontId="7" fillId="7" borderId="0" xfId="0" applyNumberFormat="1" applyFont="1" applyFill="1" applyAlignment="1">
      <alignment horizontal="left" vertical="center"/>
    </xf>
    <xf numFmtId="0" fontId="10" fillId="17" borderId="0" xfId="0" applyFont="1" applyFill="1"/>
    <xf numFmtId="166" fontId="10" fillId="17" borderId="25" xfId="2" applyNumberFormat="1" applyFont="1" applyFill="1" applyBorder="1" applyAlignment="1" applyProtection="1">
      <protection locked="0"/>
    </xf>
    <xf numFmtId="0" fontId="9" fillId="16" borderId="0" xfId="0" applyFont="1" applyFill="1" applyAlignment="1" applyProtection="1">
      <alignment horizontal="left"/>
      <protection locked="0"/>
    </xf>
    <xf numFmtId="0" fontId="9" fillId="16" borderId="50" xfId="0" applyFont="1" applyFill="1" applyBorder="1" applyAlignment="1" applyProtection="1">
      <alignment horizontal="left"/>
      <protection locked="0"/>
    </xf>
    <xf numFmtId="166" fontId="11" fillId="7" borderId="73" xfId="2" applyNumberFormat="1" applyFont="1" applyFill="1" applyBorder="1" applyAlignment="1" applyProtection="1">
      <alignment horizontal="right"/>
      <protection locked="0"/>
    </xf>
    <xf numFmtId="166" fontId="11" fillId="7" borderId="71" xfId="2" applyNumberFormat="1" applyFont="1" applyFill="1" applyBorder="1" applyAlignment="1" applyProtection="1">
      <alignment horizontal="right"/>
      <protection locked="0"/>
    </xf>
    <xf numFmtId="166" fontId="11" fillId="7" borderId="72" xfId="2" applyNumberFormat="1" applyFont="1" applyFill="1" applyBorder="1" applyAlignment="1" applyProtection="1">
      <alignment horizontal="right"/>
      <protection locked="0"/>
    </xf>
    <xf numFmtId="166" fontId="11" fillId="7" borderId="67" xfId="2" applyNumberFormat="1" applyFont="1" applyFill="1" applyBorder="1" applyAlignment="1" applyProtection="1">
      <alignment horizontal="right"/>
      <protection locked="0"/>
    </xf>
    <xf numFmtId="166" fontId="11" fillId="7" borderId="50" xfId="2" applyNumberFormat="1" applyFont="1" applyFill="1" applyBorder="1" applyAlignment="1" applyProtection="1">
      <alignment horizontal="right"/>
      <protection locked="0"/>
    </xf>
    <xf numFmtId="166" fontId="11" fillId="7" borderId="65" xfId="2" applyNumberFormat="1" applyFont="1" applyFill="1" applyBorder="1" applyAlignment="1" applyProtection="1">
      <alignment horizontal="right"/>
      <protection locked="0"/>
    </xf>
    <xf numFmtId="0" fontId="7" fillId="7" borderId="45" xfId="0" applyFont="1" applyFill="1" applyBorder="1" applyAlignment="1" applyProtection="1">
      <alignment horizontal="left" wrapText="1"/>
      <protection locked="0"/>
    </xf>
    <xf numFmtId="0" fontId="7" fillId="7" borderId="0" xfId="0" applyFont="1" applyFill="1" applyAlignment="1" applyProtection="1">
      <alignment horizontal="left" wrapText="1"/>
      <protection locked="0"/>
    </xf>
    <xf numFmtId="0" fontId="7" fillId="7" borderId="50" xfId="0" applyFont="1" applyFill="1" applyBorder="1" applyAlignment="1" applyProtection="1">
      <alignment horizontal="left" wrapText="1"/>
      <protection locked="0"/>
    </xf>
    <xf numFmtId="0" fontId="7" fillId="7" borderId="45" xfId="0" applyFont="1" applyFill="1" applyBorder="1" applyAlignment="1">
      <alignment horizontal="center" vertical="center" wrapText="1"/>
    </xf>
    <xf numFmtId="0" fontId="7" fillId="7" borderId="63" xfId="0" applyFont="1" applyFill="1" applyBorder="1" applyAlignment="1">
      <alignment horizontal="center" vertical="center" wrapText="1"/>
    </xf>
    <xf numFmtId="0" fontId="7" fillId="7" borderId="0" xfId="0" applyFont="1" applyFill="1" applyAlignment="1">
      <alignment horizontal="center" vertical="center" wrapText="1"/>
    </xf>
    <xf numFmtId="0" fontId="7" fillId="7" borderId="64" xfId="0" applyFont="1" applyFill="1" applyBorder="1" applyAlignment="1">
      <alignment horizontal="center" vertical="center" wrapText="1"/>
    </xf>
    <xf numFmtId="0" fontId="7" fillId="7" borderId="50" xfId="0" applyFont="1" applyFill="1" applyBorder="1" applyAlignment="1">
      <alignment horizontal="center" vertical="center" wrapText="1"/>
    </xf>
    <xf numFmtId="0" fontId="7" fillId="7" borderId="65" xfId="0" applyFont="1" applyFill="1" applyBorder="1" applyAlignment="1">
      <alignment horizontal="center" vertical="center" wrapText="1"/>
    </xf>
    <xf numFmtId="0" fontId="7" fillId="7" borderId="45" xfId="0" applyFont="1" applyFill="1" applyBorder="1" applyProtection="1">
      <protection locked="0"/>
    </xf>
    <xf numFmtId="0" fontId="7" fillId="7" borderId="0" xfId="0" applyFont="1" applyFill="1" applyProtection="1">
      <protection locked="0"/>
    </xf>
    <xf numFmtId="0" fontId="7" fillId="7" borderId="50" xfId="0" applyFont="1" applyFill="1" applyBorder="1" applyProtection="1">
      <protection locked="0"/>
    </xf>
    <xf numFmtId="166" fontId="8" fillId="7" borderId="66" xfId="2" applyNumberFormat="1" applyFont="1" applyFill="1" applyBorder="1" applyAlignment="1" applyProtection="1">
      <alignment horizontal="center" vertical="center"/>
      <protection locked="0"/>
    </xf>
    <xf numFmtId="166" fontId="8" fillId="7" borderId="0" xfId="2" applyNumberFormat="1" applyFont="1" applyFill="1" applyBorder="1" applyAlignment="1" applyProtection="1">
      <alignment horizontal="center" vertical="center"/>
      <protection locked="0"/>
    </xf>
    <xf numFmtId="166" fontId="8" fillId="7" borderId="64" xfId="2" applyNumberFormat="1" applyFont="1" applyFill="1" applyBorder="1" applyAlignment="1" applyProtection="1">
      <alignment horizontal="center" vertical="center"/>
      <protection locked="0"/>
    </xf>
    <xf numFmtId="166" fontId="8" fillId="7" borderId="67" xfId="2" applyNumberFormat="1" applyFont="1" applyFill="1" applyBorder="1" applyAlignment="1" applyProtection="1">
      <alignment horizontal="center" vertical="center"/>
      <protection locked="0"/>
    </xf>
    <xf numFmtId="166" fontId="8" fillId="7" borderId="50" xfId="2" applyNumberFormat="1" applyFont="1" applyFill="1" applyBorder="1" applyAlignment="1" applyProtection="1">
      <alignment horizontal="center" vertical="center"/>
      <protection locked="0"/>
    </xf>
    <xf numFmtId="166" fontId="8" fillId="7" borderId="65" xfId="2" applyNumberFormat="1" applyFont="1" applyFill="1" applyBorder="1" applyAlignment="1" applyProtection="1">
      <alignment horizontal="center" vertical="center"/>
      <protection locked="0"/>
    </xf>
    <xf numFmtId="0" fontId="7" fillId="7" borderId="0" xfId="0" applyFont="1" applyFill="1" applyAlignment="1">
      <alignment horizontal="center" vertical="center"/>
    </xf>
    <xf numFmtId="0" fontId="9" fillId="7" borderId="0" xfId="0" applyFont="1" applyFill="1"/>
    <xf numFmtId="0" fontId="7" fillId="7" borderId="45" xfId="0" applyFont="1" applyFill="1" applyBorder="1" applyAlignment="1" applyProtection="1">
      <alignment horizontal="center" wrapText="1"/>
      <protection locked="0"/>
    </xf>
    <xf numFmtId="0" fontId="9" fillId="16" borderId="0" xfId="0" applyFont="1" applyFill="1" applyAlignment="1">
      <alignment horizontal="left"/>
    </xf>
    <xf numFmtId="0" fontId="9" fillId="7" borderId="0" xfId="0" applyFont="1" applyFill="1" applyAlignment="1">
      <alignment horizontal="left"/>
    </xf>
    <xf numFmtId="0" fontId="9" fillId="7" borderId="64" xfId="0" applyFont="1" applyFill="1" applyBorder="1"/>
    <xf numFmtId="0" fontId="9" fillId="16" borderId="0" xfId="0" applyFont="1" applyFill="1" applyAlignment="1">
      <alignment horizontal="center"/>
    </xf>
    <xf numFmtId="0" fontId="7" fillId="16" borderId="0" xfId="0" applyFont="1" applyFill="1" applyAlignment="1" applyProtection="1">
      <alignment horizontal="left"/>
      <protection locked="0"/>
    </xf>
    <xf numFmtId="0" fontId="7" fillId="16" borderId="50" xfId="0" applyFont="1" applyFill="1" applyBorder="1" applyAlignment="1" applyProtection="1">
      <alignment horizontal="left"/>
      <protection locked="0"/>
    </xf>
    <xf numFmtId="0" fontId="11" fillId="7" borderId="73" xfId="0" applyFont="1" applyFill="1" applyBorder="1" applyAlignment="1" applyProtection="1">
      <alignment horizontal="center"/>
      <protection locked="0"/>
    </xf>
    <xf numFmtId="0" fontId="11" fillId="7" borderId="71" xfId="0" applyFont="1" applyFill="1" applyBorder="1" applyAlignment="1" applyProtection="1">
      <alignment horizontal="center"/>
      <protection locked="0"/>
    </xf>
    <xf numFmtId="0" fontId="11" fillId="7" borderId="72" xfId="0" applyFont="1" applyFill="1" applyBorder="1" applyAlignment="1" applyProtection="1">
      <alignment horizontal="center"/>
      <protection locked="0"/>
    </xf>
    <xf numFmtId="0" fontId="11" fillId="7" borderId="67" xfId="0" applyFont="1" applyFill="1" applyBorder="1" applyAlignment="1" applyProtection="1">
      <alignment horizontal="center"/>
      <protection locked="0"/>
    </xf>
    <xf numFmtId="0" fontId="11" fillId="7" borderId="50" xfId="0" applyFont="1" applyFill="1" applyBorder="1" applyAlignment="1" applyProtection="1">
      <alignment horizontal="center"/>
      <protection locked="0"/>
    </xf>
    <xf numFmtId="0" fontId="11" fillId="7" borderId="65" xfId="0" applyFont="1" applyFill="1" applyBorder="1" applyAlignment="1" applyProtection="1">
      <alignment horizontal="center"/>
      <protection locked="0"/>
    </xf>
    <xf numFmtId="10" fontId="7" fillId="17" borderId="67" xfId="0" applyNumberFormat="1" applyFont="1" applyFill="1" applyBorder="1" applyAlignment="1" applyProtection="1">
      <alignment horizontal="center"/>
      <protection locked="0"/>
    </xf>
    <xf numFmtId="10" fontId="7" fillId="17" borderId="50" xfId="0" applyNumberFormat="1" applyFont="1" applyFill="1" applyBorder="1" applyAlignment="1" applyProtection="1">
      <alignment horizontal="center"/>
      <protection locked="0"/>
    </xf>
    <xf numFmtId="10" fontId="7" fillId="17" borderId="65" xfId="0" applyNumberFormat="1" applyFont="1" applyFill="1" applyBorder="1" applyAlignment="1" applyProtection="1">
      <alignment horizontal="center"/>
      <protection locked="0"/>
    </xf>
    <xf numFmtId="10" fontId="7" fillId="17" borderId="69" xfId="0" applyNumberFormat="1" applyFont="1" applyFill="1" applyBorder="1" applyAlignment="1" applyProtection="1">
      <alignment horizontal="center"/>
      <protection locked="0"/>
    </xf>
    <xf numFmtId="10" fontId="7" fillId="17" borderId="25" xfId="0" applyNumberFormat="1" applyFont="1" applyFill="1" applyBorder="1" applyAlignment="1" applyProtection="1">
      <alignment horizontal="center"/>
      <protection locked="0"/>
    </xf>
    <xf numFmtId="10" fontId="7" fillId="17" borderId="68" xfId="0" applyNumberFormat="1" applyFont="1" applyFill="1" applyBorder="1" applyAlignment="1" applyProtection="1">
      <alignment horizontal="center"/>
      <protection locked="0"/>
    </xf>
    <xf numFmtId="0" fontId="13" fillId="17" borderId="0" xfId="0" applyFont="1" applyFill="1" applyAlignment="1">
      <alignment horizontal="center" vertical="center"/>
    </xf>
    <xf numFmtId="166" fontId="12" fillId="17" borderId="0" xfId="2" applyNumberFormat="1" applyFont="1" applyFill="1" applyAlignment="1" applyProtection="1">
      <alignment horizontal="center"/>
      <protection locked="0"/>
    </xf>
    <xf numFmtId="166" fontId="12" fillId="17" borderId="50" xfId="2" applyNumberFormat="1" applyFont="1" applyFill="1" applyBorder="1" applyAlignment="1" applyProtection="1">
      <alignment horizontal="center"/>
      <protection locked="0"/>
    </xf>
    <xf numFmtId="0" fontId="8" fillId="17" borderId="0" xfId="0" applyFont="1" applyFill="1" applyAlignment="1">
      <alignment horizontal="center" vertical="center" wrapText="1"/>
    </xf>
    <xf numFmtId="0" fontId="8" fillId="17" borderId="52" xfId="0" applyFont="1" applyFill="1" applyBorder="1" applyAlignment="1">
      <alignment horizontal="center" vertical="center" wrapText="1"/>
    </xf>
    <xf numFmtId="0" fontId="8" fillId="17" borderId="50" xfId="0" applyFont="1" applyFill="1" applyBorder="1" applyAlignment="1">
      <alignment horizontal="center" vertical="center" wrapText="1"/>
    </xf>
    <xf numFmtId="0" fontId="8" fillId="17" borderId="49" xfId="0" applyFont="1" applyFill="1" applyBorder="1" applyAlignment="1">
      <alignment horizontal="center" vertical="center" wrapText="1"/>
    </xf>
    <xf numFmtId="0" fontId="5" fillId="7" borderId="0" xfId="0" applyFont="1" applyFill="1" applyAlignment="1">
      <alignment horizontal="center"/>
    </xf>
    <xf numFmtId="166" fontId="7" fillId="7" borderId="54" xfId="2" applyNumberFormat="1" applyFont="1" applyFill="1" applyBorder="1" applyAlignment="1">
      <alignment horizontal="right" vertical="center" wrapText="1"/>
    </xf>
    <xf numFmtId="166" fontId="7" fillId="7" borderId="53" xfId="2" applyNumberFormat="1" applyFont="1" applyFill="1" applyBorder="1" applyAlignment="1">
      <alignment horizontal="right" vertical="center" wrapText="1"/>
    </xf>
    <xf numFmtId="166" fontId="7" fillId="7" borderId="56" xfId="2" applyNumberFormat="1" applyFont="1" applyFill="1" applyBorder="1" applyAlignment="1">
      <alignment horizontal="right" vertical="center" wrapText="1"/>
    </xf>
    <xf numFmtId="166" fontId="7" fillId="7" borderId="55" xfId="2" applyNumberFormat="1" applyFont="1" applyFill="1" applyBorder="1" applyAlignment="1">
      <alignment horizontal="right" vertical="center" wrapText="1"/>
    </xf>
    <xf numFmtId="166" fontId="7" fillId="7" borderId="1" xfId="2" applyNumberFormat="1" applyFont="1" applyFill="1" applyBorder="1" applyAlignment="1">
      <alignment horizontal="right" vertical="center" wrapText="1"/>
    </xf>
    <xf numFmtId="166" fontId="7" fillId="7" borderId="57" xfId="2" applyNumberFormat="1" applyFont="1" applyFill="1" applyBorder="1" applyAlignment="1">
      <alignment horizontal="right" vertical="center" wrapText="1"/>
    </xf>
    <xf numFmtId="0" fontId="7" fillId="7" borderId="73" xfId="0" applyFont="1" applyFill="1" applyBorder="1" applyAlignment="1" applyProtection="1">
      <alignment horizontal="center" wrapText="1"/>
      <protection locked="0"/>
    </xf>
    <xf numFmtId="0" fontId="7" fillId="7" borderId="71" xfId="0" applyFont="1" applyFill="1" applyBorder="1" applyAlignment="1" applyProtection="1">
      <alignment horizontal="center" wrapText="1"/>
      <protection locked="0"/>
    </xf>
    <xf numFmtId="0" fontId="7" fillId="7" borderId="67" xfId="0" applyFont="1" applyFill="1" applyBorder="1" applyAlignment="1" applyProtection="1">
      <alignment horizontal="center" wrapText="1"/>
      <protection locked="0"/>
    </xf>
    <xf numFmtId="0" fontId="7" fillId="7" borderId="50" xfId="0" applyFont="1" applyFill="1" applyBorder="1" applyAlignment="1" applyProtection="1">
      <alignment horizontal="center" wrapText="1"/>
      <protection locked="0"/>
    </xf>
    <xf numFmtId="0" fontId="7" fillId="7" borderId="73" xfId="0" applyFont="1" applyFill="1" applyBorder="1" applyAlignment="1" applyProtection="1">
      <alignment wrapText="1"/>
      <protection locked="0"/>
    </xf>
    <xf numFmtId="0" fontId="7" fillId="7" borderId="71" xfId="0" applyFont="1" applyFill="1" applyBorder="1" applyAlignment="1" applyProtection="1">
      <alignment wrapText="1"/>
      <protection locked="0"/>
    </xf>
    <xf numFmtId="0" fontId="7" fillId="7" borderId="72" xfId="0" applyFont="1" applyFill="1" applyBorder="1" applyAlignment="1" applyProtection="1">
      <alignment wrapText="1"/>
      <protection locked="0"/>
    </xf>
    <xf numFmtId="0" fontId="7" fillId="7" borderId="67" xfId="0" applyFont="1" applyFill="1" applyBorder="1" applyAlignment="1" applyProtection="1">
      <alignment wrapText="1"/>
      <protection locked="0"/>
    </xf>
    <xf numFmtId="0" fontId="7" fillId="7" borderId="50" xfId="0" applyFont="1" applyFill="1" applyBorder="1" applyAlignment="1" applyProtection="1">
      <alignment wrapText="1"/>
      <protection locked="0"/>
    </xf>
    <xf numFmtId="0" fontId="7" fillId="7" borderId="65" xfId="0" applyFont="1" applyFill="1" applyBorder="1" applyAlignment="1" applyProtection="1">
      <alignment wrapText="1"/>
      <protection locked="0"/>
    </xf>
    <xf numFmtId="0" fontId="6" fillId="22" borderId="45" xfId="0" applyFont="1" applyFill="1" applyBorder="1" applyAlignment="1">
      <alignment horizontal="left"/>
    </xf>
    <xf numFmtId="0" fontId="7" fillId="22" borderId="0" xfId="0" applyFont="1" applyFill="1" applyAlignment="1">
      <alignment horizontal="center"/>
    </xf>
    <xf numFmtId="14" fontId="9" fillId="22" borderId="45" xfId="0" applyNumberFormat="1" applyFont="1" applyFill="1" applyBorder="1" applyAlignment="1" applyProtection="1">
      <alignment horizontal="center"/>
      <protection locked="0"/>
    </xf>
    <xf numFmtId="14" fontId="9" fillId="22" borderId="50" xfId="0" applyNumberFormat="1" applyFont="1" applyFill="1" applyBorder="1" applyAlignment="1" applyProtection="1">
      <alignment horizontal="center"/>
      <protection locked="0"/>
    </xf>
    <xf numFmtId="0" fontId="9" fillId="22" borderId="0" xfId="0" applyFont="1" applyFill="1" applyAlignment="1" applyProtection="1">
      <alignment horizontal="left"/>
      <protection locked="0"/>
    </xf>
    <xf numFmtId="0" fontId="9" fillId="22" borderId="50" xfId="0" applyFont="1" applyFill="1" applyBorder="1" applyAlignment="1" applyProtection="1">
      <alignment horizontal="left"/>
      <protection locked="0"/>
    </xf>
    <xf numFmtId="0" fontId="7" fillId="22" borderId="0" xfId="0" applyFont="1" applyFill="1" applyAlignment="1">
      <alignment horizontal="left"/>
    </xf>
    <xf numFmtId="0" fontId="8" fillId="22" borderId="0" xfId="0" applyFont="1" applyFill="1" applyAlignment="1" applyProtection="1">
      <alignment horizontal="left"/>
      <protection locked="0"/>
    </xf>
    <xf numFmtId="0" fontId="8" fillId="22" borderId="50" xfId="0" applyFont="1" applyFill="1" applyBorder="1" applyAlignment="1" applyProtection="1">
      <alignment horizontal="left"/>
      <protection locked="0"/>
    </xf>
    <xf numFmtId="166" fontId="11" fillId="7" borderId="73" xfId="2" applyNumberFormat="1" applyFont="1" applyFill="1" applyBorder="1" applyAlignment="1" applyProtection="1">
      <protection locked="0"/>
    </xf>
    <xf numFmtId="166" fontId="11" fillId="7" borderId="71" xfId="2" applyNumberFormat="1" applyFont="1" applyFill="1" applyBorder="1" applyAlignment="1" applyProtection="1">
      <protection locked="0"/>
    </xf>
    <xf numFmtId="166" fontId="11" fillId="7" borderId="72" xfId="2" applyNumberFormat="1" applyFont="1" applyFill="1" applyBorder="1" applyAlignment="1" applyProtection="1">
      <protection locked="0"/>
    </xf>
    <xf numFmtId="166" fontId="11" fillId="7" borderId="67" xfId="2" applyNumberFormat="1" applyFont="1" applyFill="1" applyBorder="1" applyAlignment="1" applyProtection="1">
      <protection locked="0"/>
    </xf>
    <xf numFmtId="166" fontId="11" fillId="7" borderId="50" xfId="2" applyNumberFormat="1" applyFont="1" applyFill="1" applyBorder="1" applyAlignment="1" applyProtection="1">
      <protection locked="0"/>
    </xf>
    <xf numFmtId="166" fontId="11" fillId="7" borderId="65" xfId="2" applyNumberFormat="1" applyFont="1" applyFill="1" applyBorder="1" applyAlignment="1" applyProtection="1">
      <protection locked="0"/>
    </xf>
    <xf numFmtId="9" fontId="7" fillId="7" borderId="0" xfId="0" applyNumberFormat="1" applyFont="1" applyFill="1" applyAlignment="1">
      <alignment vertical="center"/>
    </xf>
    <xf numFmtId="0" fontId="7" fillId="7" borderId="0" xfId="0" applyFont="1" applyFill="1" applyAlignment="1">
      <alignment horizontal="left" vertical="center"/>
    </xf>
    <xf numFmtId="0" fontId="11" fillId="7" borderId="75" xfId="0" applyFont="1" applyFill="1" applyBorder="1" applyAlignment="1" applyProtection="1">
      <alignment horizontal="center" vertical="center"/>
      <protection locked="0"/>
    </xf>
    <xf numFmtId="0" fontId="11" fillId="7" borderId="74" xfId="0" applyFont="1" applyFill="1" applyBorder="1" applyAlignment="1" applyProtection="1">
      <alignment horizontal="center" vertical="center"/>
      <protection locked="0"/>
    </xf>
    <xf numFmtId="0" fontId="11" fillId="7" borderId="70" xfId="0" applyFont="1" applyFill="1" applyBorder="1" applyAlignment="1" applyProtection="1">
      <alignment horizontal="center" vertical="center"/>
      <protection locked="0"/>
    </xf>
    <xf numFmtId="0" fontId="11" fillId="7" borderId="67" xfId="0" applyFont="1" applyFill="1" applyBorder="1" applyAlignment="1" applyProtection="1">
      <alignment horizontal="center" vertical="center"/>
      <protection locked="0"/>
    </xf>
    <xf numFmtId="0" fontId="11" fillId="7" borderId="50" xfId="0" applyFont="1" applyFill="1" applyBorder="1" applyAlignment="1" applyProtection="1">
      <alignment horizontal="center" vertical="center"/>
      <protection locked="0"/>
    </xf>
    <xf numFmtId="0" fontId="11" fillId="7" borderId="65" xfId="0" applyFont="1" applyFill="1" applyBorder="1" applyAlignment="1" applyProtection="1">
      <alignment horizontal="center" vertical="center"/>
      <protection locked="0"/>
    </xf>
    <xf numFmtId="0" fontId="8" fillId="7" borderId="0" xfId="0" applyFont="1" applyFill="1" applyAlignment="1">
      <alignment horizontal="left" vertical="center"/>
    </xf>
    <xf numFmtId="0" fontId="8" fillId="7" borderId="50" xfId="0" applyFont="1" applyFill="1" applyBorder="1" applyAlignment="1">
      <alignment horizontal="left" vertical="center"/>
    </xf>
    <xf numFmtId="0" fontId="7" fillId="7" borderId="0" xfId="0" applyFont="1" applyFill="1" applyAlignment="1" applyProtection="1">
      <alignment wrapText="1"/>
      <protection locked="0"/>
    </xf>
    <xf numFmtId="0" fontId="7" fillId="7" borderId="45" xfId="0" applyFont="1" applyFill="1" applyBorder="1" applyAlignment="1" applyProtection="1">
      <alignment wrapText="1"/>
      <protection locked="0"/>
    </xf>
    <xf numFmtId="0" fontId="15" fillId="17" borderId="0" xfId="0" applyFont="1" applyFill="1" applyAlignment="1" applyProtection="1">
      <alignment vertical="top" wrapText="1"/>
      <protection locked="0"/>
    </xf>
    <xf numFmtId="0" fontId="17" fillId="22" borderId="0" xfId="0" applyFont="1" applyFill="1" applyAlignment="1">
      <alignment horizontal="center"/>
    </xf>
    <xf numFmtId="166" fontId="8" fillId="22" borderId="50" xfId="2" applyNumberFormat="1" applyFont="1" applyFill="1" applyBorder="1" applyAlignment="1" applyProtection="1">
      <alignment horizontal="center"/>
      <protection locked="0"/>
    </xf>
    <xf numFmtId="0" fontId="19" fillId="17" borderId="0" xfId="0" applyFont="1" applyFill="1"/>
    <xf numFmtId="165" fontId="8" fillId="22" borderId="50" xfId="1" applyNumberFormat="1" applyFont="1" applyFill="1" applyBorder="1" applyAlignment="1" applyProtection="1">
      <alignment horizontal="center"/>
      <protection locked="0"/>
    </xf>
    <xf numFmtId="0" fontId="17" fillId="22" borderId="0" xfId="0" applyFont="1" applyFill="1"/>
    <xf numFmtId="0" fontId="7" fillId="17" borderId="0" xfId="0" applyFont="1" applyFill="1"/>
    <xf numFmtId="164" fontId="7" fillId="17" borderId="50" xfId="0" applyNumberFormat="1" applyFont="1" applyFill="1" applyBorder="1" applyAlignment="1" applyProtection="1">
      <alignment horizontal="center"/>
      <protection locked="0"/>
    </xf>
    <xf numFmtId="166" fontId="10" fillId="17" borderId="69" xfId="2" applyNumberFormat="1" applyFont="1" applyFill="1" applyBorder="1" applyAlignment="1" applyProtection="1">
      <protection locked="0"/>
    </xf>
    <xf numFmtId="166" fontId="10" fillId="17" borderId="68" xfId="2" applyNumberFormat="1" applyFont="1" applyFill="1" applyBorder="1" applyAlignment="1" applyProtection="1">
      <protection locked="0"/>
    </xf>
    <xf numFmtId="166" fontId="8" fillId="22" borderId="50" xfId="2" applyNumberFormat="1" applyFont="1" applyFill="1" applyBorder="1" applyAlignment="1">
      <alignment horizontal="center"/>
    </xf>
    <xf numFmtId="166" fontId="7" fillId="17" borderId="50" xfId="2" applyNumberFormat="1" applyFont="1" applyFill="1" applyBorder="1" applyAlignment="1" applyProtection="1">
      <alignment horizontal="center"/>
      <protection locked="0"/>
    </xf>
    <xf numFmtId="166" fontId="11" fillId="17" borderId="0" xfId="2" applyNumberFormat="1" applyFont="1" applyFill="1" applyBorder="1" applyAlignment="1">
      <alignment horizontal="center"/>
    </xf>
    <xf numFmtId="166" fontId="11" fillId="17" borderId="50" xfId="2" applyNumberFormat="1" applyFont="1" applyFill="1" applyBorder="1" applyAlignment="1">
      <alignment horizontal="center"/>
    </xf>
    <xf numFmtId="165" fontId="7" fillId="17" borderId="50" xfId="0" applyNumberFormat="1" applyFont="1" applyFill="1" applyBorder="1" applyAlignment="1" applyProtection="1">
      <alignment horizontal="center"/>
      <protection locked="0"/>
    </xf>
    <xf numFmtId="0" fontId="16" fillId="17" borderId="0" xfId="0" applyFont="1" applyFill="1" applyAlignment="1">
      <alignment horizontal="center" wrapText="1"/>
    </xf>
    <xf numFmtId="0" fontId="16" fillId="17" borderId="52" xfId="0" applyFont="1" applyFill="1" applyBorder="1" applyAlignment="1">
      <alignment horizontal="center" wrapText="1"/>
    </xf>
    <xf numFmtId="0" fontId="16" fillId="17" borderId="50" xfId="0" applyFont="1" applyFill="1" applyBorder="1" applyAlignment="1">
      <alignment horizontal="center" wrapText="1"/>
    </xf>
    <xf numFmtId="0" fontId="16" fillId="17" borderId="49" xfId="0" applyFont="1" applyFill="1" applyBorder="1" applyAlignment="1">
      <alignment horizontal="center" wrapText="1"/>
    </xf>
    <xf numFmtId="0" fontId="7" fillId="7" borderId="0" xfId="0" applyFont="1" applyFill="1" applyAlignment="1" applyProtection="1">
      <alignment horizontal="center"/>
      <protection locked="0"/>
    </xf>
    <xf numFmtId="0" fontId="7" fillId="7" borderId="77" xfId="0" applyFont="1" applyFill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168" fontId="0" fillId="0" borderId="76" xfId="0" applyNumberFormat="1" applyBorder="1" applyAlignment="1">
      <alignment vertical="center"/>
    </xf>
    <xf numFmtId="168" fontId="0" fillId="0" borderId="61" xfId="0" applyNumberFormat="1" applyBorder="1" applyAlignment="1">
      <alignment vertical="center"/>
    </xf>
    <xf numFmtId="0" fontId="2" fillId="0" borderId="46" xfId="0" applyFont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168" fontId="0" fillId="0" borderId="76" xfId="0" applyNumberFormat="1" applyBorder="1" applyAlignment="1">
      <alignment horizontal="center" vertical="center"/>
    </xf>
    <xf numFmtId="168" fontId="0" fillId="0" borderId="61" xfId="0" applyNumberForma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2" fillId="8" borderId="4" xfId="0" applyFont="1" applyFill="1" applyBorder="1" applyAlignment="1">
      <alignment horizontal="center"/>
    </xf>
    <xf numFmtId="0" fontId="2" fillId="8" borderId="5" xfId="0" applyFont="1" applyFill="1" applyBorder="1" applyAlignment="1">
      <alignment horizontal="center"/>
    </xf>
    <xf numFmtId="0" fontId="2" fillId="2" borderId="35" xfId="0" applyFont="1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164" fontId="2" fillId="5" borderId="35" xfId="1" applyNumberFormat="1" applyFont="1" applyFill="1" applyBorder="1" applyAlignment="1">
      <alignment horizontal="center"/>
    </xf>
    <xf numFmtId="164" fontId="2" fillId="5" borderId="25" xfId="1" applyNumberFormat="1" applyFont="1" applyFill="1" applyBorder="1" applyAlignment="1">
      <alignment horizontal="center"/>
    </xf>
    <xf numFmtId="0" fontId="2" fillId="2" borderId="24" xfId="0" applyFont="1" applyFill="1" applyBorder="1" applyAlignment="1">
      <alignment horizontal="center"/>
    </xf>
    <xf numFmtId="0" fontId="2" fillId="2" borderId="34" xfId="0" applyFont="1" applyFill="1" applyBorder="1" applyAlignment="1">
      <alignment horizontal="center"/>
    </xf>
    <xf numFmtId="0" fontId="0" fillId="12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/>
    </xf>
    <xf numFmtId="164" fontId="2" fillId="5" borderId="37" xfId="1" applyNumberFormat="1" applyFont="1" applyFill="1" applyBorder="1" applyAlignment="1">
      <alignment horizontal="center"/>
    </xf>
    <xf numFmtId="164" fontId="2" fillId="5" borderId="38" xfId="1" applyNumberFormat="1" applyFont="1" applyFill="1" applyBorder="1" applyAlignment="1">
      <alignment horizontal="center"/>
    </xf>
    <xf numFmtId="0" fontId="2" fillId="11" borderId="4" xfId="0" applyFont="1" applyFill="1" applyBorder="1" applyAlignment="1">
      <alignment horizontal="center" vertical="top"/>
    </xf>
    <xf numFmtId="0" fontId="2" fillId="11" borderId="6" xfId="0" applyFont="1" applyFill="1" applyBorder="1" applyAlignment="1">
      <alignment horizontal="center" vertical="top"/>
    </xf>
    <xf numFmtId="0" fontId="2" fillId="9" borderId="20" xfId="0" applyFont="1" applyFill="1" applyBorder="1" applyAlignment="1">
      <alignment horizontal="center" vertical="top"/>
    </xf>
    <xf numFmtId="0" fontId="2" fillId="9" borderId="16" xfId="0" applyFont="1" applyFill="1" applyBorder="1" applyAlignment="1">
      <alignment horizontal="center" vertical="top"/>
    </xf>
    <xf numFmtId="0" fontId="2" fillId="11" borderId="14" xfId="0" applyFont="1" applyFill="1" applyBorder="1" applyAlignment="1">
      <alignment horizontal="center" vertical="top"/>
    </xf>
    <xf numFmtId="0" fontId="2" fillId="11" borderId="15" xfId="0" applyFont="1" applyFill="1" applyBorder="1" applyAlignment="1">
      <alignment horizontal="center" vertical="top"/>
    </xf>
    <xf numFmtId="44" fontId="0" fillId="5" borderId="4" xfId="2" applyFont="1" applyFill="1" applyBorder="1" applyAlignment="1">
      <alignment horizontal="center"/>
    </xf>
    <xf numFmtId="44" fontId="0" fillId="5" borderId="5" xfId="2" applyFont="1" applyFill="1" applyBorder="1" applyAlignment="1">
      <alignment horizontal="center"/>
    </xf>
    <xf numFmtId="44" fontId="0" fillId="5" borderId="6" xfId="2" applyFont="1" applyFill="1" applyBorder="1" applyAlignment="1">
      <alignment horizontal="center"/>
    </xf>
    <xf numFmtId="44" fontId="0" fillId="5" borderId="5" xfId="0" applyNumberFormat="1" applyFill="1" applyBorder="1" applyAlignment="1">
      <alignment horizontal="center"/>
    </xf>
    <xf numFmtId="44" fontId="0" fillId="5" borderId="6" xfId="0" applyNumberForma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2" fillId="9" borderId="20" xfId="0" applyFont="1" applyFill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17" xfId="0" applyBorder="1" applyAlignment="1">
      <alignment horizontal="center"/>
    </xf>
    <xf numFmtId="0" fontId="0" fillId="0" borderId="13" xfId="0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23" borderId="0" xfId="0" applyFill="1" applyAlignment="1">
      <alignment horizontal="center" vertical="center"/>
    </xf>
    <xf numFmtId="0" fontId="0" fillId="23" borderId="0" xfId="0" applyFill="1" applyAlignment="1">
      <alignment horizontal="center"/>
    </xf>
    <xf numFmtId="0" fontId="9" fillId="7" borderId="0" xfId="0" applyFont="1" applyFill="1" applyBorder="1"/>
    <xf numFmtId="0" fontId="7" fillId="7" borderId="77" xfId="0" applyFont="1" applyFill="1" applyBorder="1"/>
    <xf numFmtId="0" fontId="0" fillId="0" borderId="0" xfId="0" applyFill="1"/>
    <xf numFmtId="0" fontId="0" fillId="0" borderId="0" xfId="0" applyFill="1" applyBorder="1"/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E8E1E1"/>
      <color rgb="FFFBD5EF"/>
      <color rgb="FFFCDCF2"/>
      <color rgb="FFFBE5EC"/>
      <color rgb="FFF8CBAD"/>
      <color rgb="FFFFCCCC"/>
      <color rgb="FFFCE4D6"/>
      <color rgb="FFFFCCFF"/>
      <color rgb="FFFF66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'Back End'!$C$29" lockText="1" noThreeD="1"/>
</file>

<file path=xl/ctrlProps/ctrlProp2.xml><?xml version="1.0" encoding="utf-8"?>
<formControlPr xmlns="http://schemas.microsoft.com/office/spreadsheetml/2009/9/main" objectType="CheckBox" fmlaLink="'Back End'!$C$30" lockText="1" noThreeD="1"/>
</file>

<file path=xl/ctrlProps/ctrlProp3.xml><?xml version="1.0" encoding="utf-8"?>
<formControlPr xmlns="http://schemas.microsoft.com/office/spreadsheetml/2009/9/main" objectType="CheckBox" fmlaLink="'Back End'!$C$31" lockText="1" noThreeD="1"/>
</file>

<file path=xl/ctrlProps/ctrlProp4.xml><?xml version="1.0" encoding="utf-8"?>
<formControlPr xmlns="http://schemas.microsoft.com/office/spreadsheetml/2009/9/main" objectType="CheckBox" fmlaLink="'Back End'!$C$32" lockText="1" noThreeD="1"/>
</file>

<file path=xl/ctrlProps/ctrlProp5.xml><?xml version="1.0" encoding="utf-8"?>
<formControlPr xmlns="http://schemas.microsoft.com/office/spreadsheetml/2009/9/main" objectType="CheckBox" fmlaLink="'Back End'!$C$34" lockText="1" noThreeD="1"/>
</file>

<file path=xl/ctrlProps/ctrlProp6.xml><?xml version="1.0" encoding="utf-8"?>
<formControlPr xmlns="http://schemas.microsoft.com/office/spreadsheetml/2009/9/main" objectType="CheckBox" fmlaLink="'Back End'!$C$33" lockText="1" noThreeD="1"/>
</file>

<file path=xl/ctrlProps/ctrlProp7.xml><?xml version="1.0" encoding="utf-8"?>
<formControlPr xmlns="http://schemas.microsoft.com/office/spreadsheetml/2009/9/main" objectType="CheckBox" fmlaLink="'Back End'!$E$17" lockText="1" noThreeD="1"/>
</file>

<file path=xl/ctrlProps/ctrlProp8.xml><?xml version="1.0" encoding="utf-8"?>
<formControlPr xmlns="http://schemas.microsoft.com/office/spreadsheetml/2009/9/main" objectType="CheckBox" checked="Checked" fmlaLink="'Back End'!$E$18" lockText="1" noThreeD="1"/>
</file>

<file path=xl/ctrlProps/ctrlProp9.xml><?xml version="1.0" encoding="utf-8"?>
<formControlPr xmlns="http://schemas.microsoft.com/office/spreadsheetml/2009/9/main" objectType="CheckBox" fmlaLink="'Back End'!$E$19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85726</xdr:colOff>
      <xdr:row>51</xdr:row>
      <xdr:rowOff>161059</xdr:rowOff>
    </xdr:from>
    <xdr:to>
      <xdr:col>53</xdr:col>
      <xdr:colOff>96982</xdr:colOff>
      <xdr:row>53</xdr:row>
      <xdr:rowOff>142875</xdr:rowOff>
    </xdr:to>
    <xdr:sp macro="[0]!ButtonFHA_Click" textlink="">
      <xdr:nvSpPr>
        <xdr:cNvPr id="3" name="ButtonFHA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886326" y="8495434"/>
          <a:ext cx="1268556" cy="429491"/>
        </a:xfrm>
        <a:prstGeom prst="roundRect">
          <a:avLst/>
        </a:prstGeom>
        <a:solidFill>
          <a:srgbClr val="FCE4D6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FHA</a:t>
          </a:r>
        </a:p>
      </xdr:txBody>
    </xdr:sp>
    <xdr:clientData/>
  </xdr:twoCellAnchor>
  <xdr:twoCellAnchor>
    <xdr:from>
      <xdr:col>54</xdr:col>
      <xdr:colOff>104775</xdr:colOff>
      <xdr:row>51</xdr:row>
      <xdr:rowOff>161058</xdr:rowOff>
    </xdr:from>
    <xdr:to>
      <xdr:col>65</xdr:col>
      <xdr:colOff>104775</xdr:colOff>
      <xdr:row>53</xdr:row>
      <xdr:rowOff>142875</xdr:rowOff>
    </xdr:to>
    <xdr:sp macro="[0]!ButtonConv_Click" textlink="">
      <xdr:nvSpPr>
        <xdr:cNvPr id="4" name="ButtonConv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276975" y="8495433"/>
          <a:ext cx="1257300" cy="429492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>
                  <a:lumMod val="95000"/>
                  <a:lumOff val="5000"/>
                </a:schemeClr>
              </a:solidFill>
            </a:rPr>
            <a:t>Conventional</a:t>
          </a:r>
        </a:p>
      </xdr:txBody>
    </xdr:sp>
    <xdr:clientData/>
  </xdr:twoCellAnchor>
  <xdr:twoCellAnchor>
    <xdr:from>
      <xdr:col>55</xdr:col>
      <xdr:colOff>19050</xdr:colOff>
      <xdr:row>53</xdr:row>
      <xdr:rowOff>238125</xdr:rowOff>
    </xdr:from>
    <xdr:to>
      <xdr:col>70</xdr:col>
      <xdr:colOff>794</xdr:colOff>
      <xdr:row>54</xdr:row>
      <xdr:rowOff>219075</xdr:rowOff>
    </xdr:to>
    <xdr:sp macro="[0]!Button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05550" y="9020175"/>
          <a:ext cx="1696244" cy="238125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tx1"/>
              </a:solidFill>
            </a:rPr>
            <a:t>Mortgage</a:t>
          </a:r>
          <a:r>
            <a:rPr lang="en-US" sz="1100" b="1" baseline="0">
              <a:solidFill>
                <a:schemeClr val="tx1"/>
              </a:solidFill>
            </a:rPr>
            <a:t> Insurance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28576</xdr:colOff>
      <xdr:row>55</xdr:row>
      <xdr:rowOff>21508</xdr:rowOff>
    </xdr:from>
    <xdr:to>
      <xdr:col>63</xdr:col>
      <xdr:colOff>67597</xdr:colOff>
      <xdr:row>55</xdr:row>
      <xdr:rowOff>247649</xdr:rowOff>
    </xdr:to>
    <xdr:sp macro="[0]!ButtonMonthlyMI_Click" textlink="">
      <xdr:nvSpPr>
        <xdr:cNvPr id="5" name="ButtonMonthlyMI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281278" y="9325282"/>
          <a:ext cx="948504" cy="22614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Monthly</a:t>
          </a:r>
        </a:p>
      </xdr:txBody>
    </xdr:sp>
    <xdr:clientData/>
  </xdr:twoCellAnchor>
  <xdr:twoCellAnchor>
    <xdr:from>
      <xdr:col>55</xdr:col>
      <xdr:colOff>28576</xdr:colOff>
      <xdr:row>56</xdr:row>
      <xdr:rowOff>22614</xdr:rowOff>
    </xdr:from>
    <xdr:to>
      <xdr:col>63</xdr:col>
      <xdr:colOff>67597</xdr:colOff>
      <xdr:row>56</xdr:row>
      <xdr:rowOff>247650</xdr:rowOff>
    </xdr:to>
    <xdr:sp macro="[0]!ButtonFinancedMI_Click" textlink="">
      <xdr:nvSpPr>
        <xdr:cNvPr id="7" name="ButtonFinancedMI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281278" y="9584485"/>
          <a:ext cx="948504" cy="225036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Financed</a:t>
          </a:r>
        </a:p>
      </xdr:txBody>
    </xdr:sp>
    <xdr:clientData/>
  </xdr:twoCellAnchor>
  <xdr:twoCellAnchor>
    <xdr:from>
      <xdr:col>55</xdr:col>
      <xdr:colOff>28574</xdr:colOff>
      <xdr:row>57</xdr:row>
      <xdr:rowOff>36871</xdr:rowOff>
    </xdr:from>
    <xdr:to>
      <xdr:col>69</xdr:col>
      <xdr:colOff>113685</xdr:colOff>
      <xdr:row>58</xdr:row>
      <xdr:rowOff>9525</xdr:rowOff>
    </xdr:to>
    <xdr:sp macro="[0]!ButtonSPMI_Click" textlink="">
      <xdr:nvSpPr>
        <xdr:cNvPr id="8" name="ButtonSPMI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281276" y="9856839"/>
          <a:ext cx="1676707" cy="230751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Single</a:t>
          </a:r>
          <a:r>
            <a:rPr lang="en-US" sz="1100" b="1" baseline="0">
              <a:solidFill>
                <a:schemeClr val="tx1"/>
              </a:solidFill>
            </a:rPr>
            <a:t> Premium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78</xdr:col>
      <xdr:colOff>0</xdr:colOff>
      <xdr:row>32</xdr:row>
      <xdr:rowOff>19540</xdr:rowOff>
    </xdr:from>
    <xdr:to>
      <xdr:col>81</xdr:col>
      <xdr:colOff>48847</xdr:colOff>
      <xdr:row>34</xdr:row>
      <xdr:rowOff>29307</xdr:rowOff>
    </xdr:to>
    <xdr:sp macro="[0]!DTI31_Click" textlink="">
      <xdr:nvSpPr>
        <xdr:cNvPr id="13" name="31DTI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8953500" y="5228982"/>
          <a:ext cx="393212" cy="266210"/>
        </a:xfrm>
        <a:prstGeom prst="roundRect">
          <a:avLst/>
        </a:prstGeom>
        <a:solidFill>
          <a:srgbClr val="F8CBAD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5720" rIns="45720" rtlCol="0" anchor="t"/>
        <a:lstStyle/>
        <a:p>
          <a:pPr algn="ctr"/>
          <a:r>
            <a:rPr lang="en-US" sz="1100" b="1">
              <a:solidFill>
                <a:schemeClr val="tx1"/>
              </a:solidFill>
            </a:rPr>
            <a:t>31%</a:t>
          </a:r>
        </a:p>
      </xdr:txBody>
    </xdr:sp>
    <xdr:clientData/>
  </xdr:twoCellAnchor>
  <xdr:twoCellAnchor>
    <xdr:from>
      <xdr:col>78</xdr:col>
      <xdr:colOff>0</xdr:colOff>
      <xdr:row>30</xdr:row>
      <xdr:rowOff>107052</xdr:rowOff>
    </xdr:from>
    <xdr:to>
      <xdr:col>81</xdr:col>
      <xdr:colOff>48847</xdr:colOff>
      <xdr:row>31</xdr:row>
      <xdr:rowOff>190499</xdr:rowOff>
    </xdr:to>
    <xdr:sp macro="[0]!DTI45_Click" textlink="">
      <xdr:nvSpPr>
        <xdr:cNvPr id="17" name="45DTI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8953500" y="4935494"/>
          <a:ext cx="393212" cy="273947"/>
        </a:xfrm>
        <a:prstGeom prst="round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5720" rIns="45720" rtlCol="0" anchor="t"/>
        <a:lstStyle/>
        <a:p>
          <a:pPr algn="ctr"/>
          <a:r>
            <a:rPr lang="en-US" sz="1100" b="1">
              <a:solidFill>
                <a:schemeClr val="tx1"/>
              </a:solidFill>
            </a:rPr>
            <a:t>45%</a:t>
          </a:r>
        </a:p>
      </xdr:txBody>
    </xdr:sp>
    <xdr:clientData/>
  </xdr:twoCellAnchor>
  <xdr:twoCellAnchor>
    <xdr:from>
      <xdr:col>69</xdr:col>
      <xdr:colOff>114788</xdr:colOff>
      <xdr:row>32</xdr:row>
      <xdr:rowOff>17319</xdr:rowOff>
    </xdr:from>
    <xdr:to>
      <xdr:col>73</xdr:col>
      <xdr:colOff>63500</xdr:colOff>
      <xdr:row>34</xdr:row>
      <xdr:rowOff>27215</xdr:rowOff>
    </xdr:to>
    <xdr:sp macro="[0]!DTI41_Click" textlink="">
      <xdr:nvSpPr>
        <xdr:cNvPr id="18" name="41DTI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8035192" y="5226761"/>
          <a:ext cx="407866" cy="266339"/>
        </a:xfrm>
        <a:prstGeom prst="roundRect">
          <a:avLst/>
        </a:prstGeom>
        <a:solidFill>
          <a:srgbClr val="F8CBAD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5720" rIns="45720" rtlCol="0" anchor="t"/>
        <a:lstStyle/>
        <a:p>
          <a:pPr algn="ctr"/>
          <a:r>
            <a:rPr lang="en-US" sz="1100" b="1">
              <a:solidFill>
                <a:schemeClr val="tx1"/>
              </a:solidFill>
            </a:rPr>
            <a:t>41%</a:t>
          </a:r>
        </a:p>
      </xdr:txBody>
    </xdr:sp>
    <xdr:clientData/>
  </xdr:twoCellAnchor>
  <xdr:twoCellAnchor>
    <xdr:from>
      <xdr:col>69</xdr:col>
      <xdr:colOff>114788</xdr:colOff>
      <xdr:row>30</xdr:row>
      <xdr:rowOff>106188</xdr:rowOff>
    </xdr:from>
    <xdr:to>
      <xdr:col>73</xdr:col>
      <xdr:colOff>63500</xdr:colOff>
      <xdr:row>31</xdr:row>
      <xdr:rowOff>190500</xdr:rowOff>
    </xdr:to>
    <xdr:sp macro="[0]!DTI57_Click" textlink="">
      <xdr:nvSpPr>
        <xdr:cNvPr id="19" name="57DTI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8035192" y="4934630"/>
          <a:ext cx="407866" cy="274812"/>
        </a:xfrm>
        <a:prstGeom prst="roundRect">
          <a:avLst/>
        </a:prstGeom>
        <a:solidFill>
          <a:srgbClr val="F8CBAD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5720" rIns="45720" rtlCol="0" anchor="t"/>
        <a:lstStyle/>
        <a:p>
          <a:pPr algn="ctr"/>
          <a:r>
            <a:rPr lang="en-US" sz="1100" b="1">
              <a:solidFill>
                <a:schemeClr val="tx1"/>
              </a:solidFill>
            </a:rPr>
            <a:t>57%</a:t>
          </a:r>
        </a:p>
      </xdr:txBody>
    </xdr:sp>
    <xdr:clientData/>
  </xdr:twoCellAnchor>
  <xdr:twoCellAnchor>
    <xdr:from>
      <xdr:col>74</xdr:col>
      <xdr:colOff>2062</xdr:colOff>
      <xdr:row>32</xdr:row>
      <xdr:rowOff>21313</xdr:rowOff>
    </xdr:from>
    <xdr:to>
      <xdr:col>77</xdr:col>
      <xdr:colOff>59906</xdr:colOff>
      <xdr:row>34</xdr:row>
      <xdr:rowOff>29186</xdr:rowOff>
    </xdr:to>
    <xdr:sp macro="[0]!DTI36_Click" textlink="">
      <xdr:nvSpPr>
        <xdr:cNvPr id="22" name="36DTI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496408" y="5230755"/>
          <a:ext cx="402210" cy="264316"/>
        </a:xfrm>
        <a:prstGeom prst="roundRect">
          <a:avLst/>
        </a:prstGeom>
        <a:solidFill>
          <a:srgbClr val="F8CBAD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5720" rIns="45720" rtlCol="0" anchor="t"/>
        <a:lstStyle/>
        <a:p>
          <a:pPr algn="ctr"/>
          <a:r>
            <a:rPr lang="en-US" sz="1100" b="1">
              <a:solidFill>
                <a:schemeClr val="tx1"/>
              </a:solidFill>
            </a:rPr>
            <a:t>36%</a:t>
          </a:r>
        </a:p>
      </xdr:txBody>
    </xdr:sp>
    <xdr:clientData/>
  </xdr:twoCellAnchor>
  <xdr:twoCellAnchor>
    <xdr:from>
      <xdr:col>73</xdr:col>
      <xdr:colOff>112267</xdr:colOff>
      <xdr:row>30</xdr:row>
      <xdr:rowOff>103909</xdr:rowOff>
    </xdr:from>
    <xdr:to>
      <xdr:col>77</xdr:col>
      <xdr:colOff>68384</xdr:colOff>
      <xdr:row>32</xdr:row>
      <xdr:rowOff>1875</xdr:rowOff>
    </xdr:to>
    <xdr:sp macro="[0]!DTI50_Click" textlink="">
      <xdr:nvSpPr>
        <xdr:cNvPr id="23" name="50DTI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8491825" y="4932351"/>
          <a:ext cx="415271" cy="278966"/>
        </a:xfrm>
        <a:prstGeom prst="roundRect">
          <a:avLst/>
        </a:prstGeom>
        <a:solidFill>
          <a:srgbClr val="F8CBAD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5720" rIns="45720" rtlCol="0" anchor="t"/>
        <a:lstStyle/>
        <a:p>
          <a:pPr algn="ctr"/>
          <a:r>
            <a:rPr lang="en-US" sz="1100" b="1">
              <a:solidFill>
                <a:schemeClr val="tx1"/>
              </a:solidFill>
            </a:rPr>
            <a:t>50%</a:t>
          </a:r>
        </a:p>
      </xdr:txBody>
    </xdr:sp>
    <xdr:clientData/>
  </xdr:twoCellAnchor>
  <xdr:twoCellAnchor>
    <xdr:from>
      <xdr:col>81</xdr:col>
      <xdr:colOff>104775</xdr:colOff>
      <xdr:row>31</xdr:row>
      <xdr:rowOff>66675</xdr:rowOff>
    </xdr:from>
    <xdr:to>
      <xdr:col>85</xdr:col>
      <xdr:colOff>79131</xdr:colOff>
      <xdr:row>32</xdr:row>
      <xdr:rowOff>141463</xdr:rowOff>
    </xdr:to>
    <xdr:sp macro="[0]!Button_Click" textlink="">
      <xdr:nvSpPr>
        <xdr:cNvPr id="24" name="47DTI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8650898" y="5081221"/>
          <a:ext cx="396387" cy="265288"/>
        </a:xfrm>
        <a:prstGeom prst="round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5720" rIns="45720" rtlCol="0" anchor="t"/>
        <a:lstStyle/>
        <a:p>
          <a:pPr algn="l"/>
          <a:r>
            <a:rPr lang="en-US" sz="1100" b="1">
              <a:solidFill>
                <a:schemeClr val="tx1"/>
              </a:solidFill>
            </a:rPr>
            <a:t>47%</a:t>
          </a:r>
        </a:p>
      </xdr:txBody>
    </xdr:sp>
    <xdr:clientData/>
  </xdr:twoCellAnchor>
  <xdr:twoCellAnchor>
    <xdr:from>
      <xdr:col>98</xdr:col>
      <xdr:colOff>0</xdr:colOff>
      <xdr:row>52</xdr:row>
      <xdr:rowOff>28575</xdr:rowOff>
    </xdr:from>
    <xdr:to>
      <xdr:col>125</xdr:col>
      <xdr:colOff>0</xdr:colOff>
      <xdr:row>53</xdr:row>
      <xdr:rowOff>29368</xdr:rowOff>
    </xdr:to>
    <xdr:sp macro="[0]!Button_Click" textlink="" fLocksText="0">
      <xdr:nvSpPr>
        <xdr:cNvPr id="25" name="FinancedMIShape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1201400" y="8553450"/>
          <a:ext cx="3086100" cy="257968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Financed MI = $0</a:t>
          </a:r>
        </a:p>
      </xdr:txBody>
    </xdr:sp>
    <xdr:clientData/>
  </xdr:twoCellAnchor>
  <xdr:twoCellAnchor>
    <xdr:from>
      <xdr:col>97</xdr:col>
      <xdr:colOff>112567</xdr:colOff>
      <xdr:row>53</xdr:row>
      <xdr:rowOff>207015</xdr:rowOff>
    </xdr:from>
    <xdr:to>
      <xdr:col>124</xdr:col>
      <xdr:colOff>112567</xdr:colOff>
      <xdr:row>54</xdr:row>
      <xdr:rowOff>212570</xdr:rowOff>
    </xdr:to>
    <xdr:sp macro="[0]!MaxPurchCalc" textlink="">
      <xdr:nvSpPr>
        <xdr:cNvPr id="6171" name="MaxPurchCalc">
          <a:extLst>
            <a:ext uri="{FF2B5EF4-FFF2-40B4-BE49-F238E27FC236}">
              <a16:creationId xmlns:a16="http://schemas.microsoft.com/office/drawing/2014/main" id="{00000000-0008-0000-0000-00001B180000}"/>
            </a:ext>
          </a:extLst>
        </xdr:cNvPr>
        <xdr:cNvSpPr/>
      </xdr:nvSpPr>
      <xdr:spPr>
        <a:xfrm>
          <a:off x="11031681" y="8978674"/>
          <a:ext cx="3039341" cy="260998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Maximum Purchase Price</a:t>
          </a:r>
        </a:p>
      </xdr:txBody>
    </xdr:sp>
    <xdr:clientData/>
  </xdr:twoCellAnchor>
  <xdr:twoCellAnchor>
    <xdr:from>
      <xdr:col>97</xdr:col>
      <xdr:colOff>112567</xdr:colOff>
      <xdr:row>54</xdr:row>
      <xdr:rowOff>237332</xdr:rowOff>
    </xdr:from>
    <xdr:to>
      <xdr:col>124</xdr:col>
      <xdr:colOff>112567</xdr:colOff>
      <xdr:row>55</xdr:row>
      <xdr:rowOff>238125</xdr:rowOff>
    </xdr:to>
    <xdr:sp macro="[0]!DesPurchase" textlink="">
      <xdr:nvSpPr>
        <xdr:cNvPr id="6172" name="DesPurchase">
          <a:extLst>
            <a:ext uri="{FF2B5EF4-FFF2-40B4-BE49-F238E27FC236}">
              <a16:creationId xmlns:a16="http://schemas.microsoft.com/office/drawing/2014/main" id="{00000000-0008-0000-0000-00001C180000}"/>
            </a:ext>
          </a:extLst>
        </xdr:cNvPr>
        <xdr:cNvSpPr/>
      </xdr:nvSpPr>
      <xdr:spPr>
        <a:xfrm>
          <a:off x="11031681" y="9264434"/>
          <a:ext cx="3039341" cy="256236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Desired</a:t>
          </a:r>
          <a:r>
            <a:rPr lang="en-US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 Purchase Price</a:t>
          </a:r>
          <a:endParaRPr lang="en-US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98</xdr:col>
      <xdr:colOff>0</xdr:colOff>
      <xdr:row>55</xdr:row>
      <xdr:rowOff>254651</xdr:rowOff>
    </xdr:from>
    <xdr:to>
      <xdr:col>125</xdr:col>
      <xdr:colOff>0</xdr:colOff>
      <xdr:row>57</xdr:row>
      <xdr:rowOff>0</xdr:rowOff>
    </xdr:to>
    <xdr:sp macro="[0]!DesMP" textlink="">
      <xdr:nvSpPr>
        <xdr:cNvPr id="6173" name="DesMP">
          <a:extLst>
            <a:ext uri="{FF2B5EF4-FFF2-40B4-BE49-F238E27FC236}">
              <a16:creationId xmlns:a16="http://schemas.microsoft.com/office/drawing/2014/main" id="{00000000-0008-0000-0000-00001D180000}"/>
            </a:ext>
          </a:extLst>
        </xdr:cNvPr>
        <xdr:cNvSpPr/>
      </xdr:nvSpPr>
      <xdr:spPr>
        <a:xfrm>
          <a:off x="11031682" y="9537196"/>
          <a:ext cx="3039341" cy="256236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Desired Monthly</a:t>
          </a:r>
          <a:r>
            <a:rPr lang="en-US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 Payment</a:t>
          </a:r>
        </a:p>
      </xdr:txBody>
    </xdr:sp>
    <xdr:clientData/>
  </xdr:twoCellAnchor>
  <xdr:twoCellAnchor editAs="oneCell">
    <xdr:from>
      <xdr:col>41</xdr:col>
      <xdr:colOff>44450</xdr:colOff>
      <xdr:row>61</xdr:row>
      <xdr:rowOff>25401</xdr:rowOff>
    </xdr:from>
    <xdr:to>
      <xdr:col>88</xdr:col>
      <xdr:colOff>16580</xdr:colOff>
      <xdr:row>72</xdr:row>
      <xdr:rowOff>77787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30750" y="10769601"/>
          <a:ext cx="5333753" cy="2752724"/>
        </a:xfrm>
        <a:prstGeom prst="rect">
          <a:avLst/>
        </a:prstGeom>
      </xdr:spPr>
    </xdr:pic>
    <xdr:clientData/>
  </xdr:twoCellAnchor>
  <xdr:twoCellAnchor>
    <xdr:from>
      <xdr:col>100</xdr:col>
      <xdr:colOff>95250</xdr:colOff>
      <xdr:row>3</xdr:row>
      <xdr:rowOff>52225</xdr:rowOff>
    </xdr:from>
    <xdr:to>
      <xdr:col>111</xdr:col>
      <xdr:colOff>104775</xdr:colOff>
      <xdr:row>4</xdr:row>
      <xdr:rowOff>183931</xdr:rowOff>
    </xdr:to>
    <xdr:sp macro="[0]!ButtonClick_Purchase" textlink="">
      <xdr:nvSpPr>
        <xdr:cNvPr id="12" name="ButtonPurchas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1590940" y="623725"/>
          <a:ext cx="1274051" cy="197396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Purchase</a:t>
          </a:r>
        </a:p>
      </xdr:txBody>
    </xdr:sp>
    <xdr:clientData/>
  </xdr:twoCellAnchor>
  <xdr:twoCellAnchor>
    <xdr:from>
      <xdr:col>100</xdr:col>
      <xdr:colOff>96728</xdr:colOff>
      <xdr:row>5</xdr:row>
      <xdr:rowOff>39907</xdr:rowOff>
    </xdr:from>
    <xdr:to>
      <xdr:col>111</xdr:col>
      <xdr:colOff>106253</xdr:colOff>
      <xdr:row>6</xdr:row>
      <xdr:rowOff>45983</xdr:rowOff>
    </xdr:to>
    <xdr:sp macro="[0]!ButtonClick_Refinance" textlink="">
      <xdr:nvSpPr>
        <xdr:cNvPr id="14" name="ButtonRefinance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1592418" y="867597"/>
          <a:ext cx="1274051" cy="196576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Refinance</a:t>
          </a:r>
        </a:p>
      </xdr:txBody>
    </xdr:sp>
    <xdr:clientData/>
  </xdr:twoCellAnchor>
  <xdr:twoCellAnchor>
    <xdr:from>
      <xdr:col>113</xdr:col>
      <xdr:colOff>32846</xdr:colOff>
      <xdr:row>3</xdr:row>
      <xdr:rowOff>45983</xdr:rowOff>
    </xdr:from>
    <xdr:to>
      <xdr:col>124</xdr:col>
      <xdr:colOff>42371</xdr:colOff>
      <xdr:row>4</xdr:row>
      <xdr:rowOff>182451</xdr:rowOff>
    </xdr:to>
    <xdr:sp macro="[0]!ButtonClick_Approved" textlink="">
      <xdr:nvSpPr>
        <xdr:cNvPr id="15" name="ButtonApproved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3022975" y="617483"/>
          <a:ext cx="1274051" cy="202158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Approved</a:t>
          </a:r>
        </a:p>
      </xdr:txBody>
    </xdr:sp>
    <xdr:clientData/>
  </xdr:twoCellAnchor>
  <xdr:twoCellAnchor>
    <xdr:from>
      <xdr:col>113</xdr:col>
      <xdr:colOff>34324</xdr:colOff>
      <xdr:row>5</xdr:row>
      <xdr:rowOff>28903</xdr:rowOff>
    </xdr:from>
    <xdr:to>
      <xdr:col>124</xdr:col>
      <xdr:colOff>43849</xdr:colOff>
      <xdr:row>6</xdr:row>
      <xdr:rowOff>39741</xdr:rowOff>
    </xdr:to>
    <xdr:sp macro="[0]!ButtonClick_PendingItems" textlink="">
      <xdr:nvSpPr>
        <xdr:cNvPr id="16" name="ButtonPendingItems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024453" y="856593"/>
          <a:ext cx="1274051" cy="201338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Pending Items</a:t>
          </a:r>
        </a:p>
      </xdr:txBody>
    </xdr:sp>
    <xdr:clientData/>
  </xdr:twoCellAnchor>
  <xdr:twoCellAnchor>
    <xdr:from>
      <xdr:col>112</xdr:col>
      <xdr:colOff>64376</xdr:colOff>
      <xdr:row>11</xdr:row>
      <xdr:rowOff>4434</xdr:rowOff>
    </xdr:from>
    <xdr:to>
      <xdr:col>117</xdr:col>
      <xdr:colOff>73736</xdr:colOff>
      <xdr:row>12</xdr:row>
      <xdr:rowOff>12315</xdr:rowOff>
    </xdr:to>
    <xdr:sp macro="[0]!ButtonClick_Yes" textlink="">
      <xdr:nvSpPr>
        <xdr:cNvPr id="20" name="ButtonYes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2939548" y="1600693"/>
          <a:ext cx="584145" cy="198381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Yes</a:t>
          </a:r>
        </a:p>
      </xdr:txBody>
    </xdr:sp>
    <xdr:clientData/>
  </xdr:twoCellAnchor>
  <xdr:twoCellAnchor>
    <xdr:from>
      <xdr:col>118</xdr:col>
      <xdr:colOff>50745</xdr:colOff>
      <xdr:row>11</xdr:row>
      <xdr:rowOff>3612</xdr:rowOff>
    </xdr:from>
    <xdr:to>
      <xdr:col>123</xdr:col>
      <xdr:colOff>52222</xdr:colOff>
      <xdr:row>12</xdr:row>
      <xdr:rowOff>14450</xdr:rowOff>
    </xdr:to>
    <xdr:sp macro="[0]!ButtonClick_no" textlink="">
      <xdr:nvSpPr>
        <xdr:cNvPr id="21" name="ButtonNo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3615659" y="1599871"/>
          <a:ext cx="576261" cy="201338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No</a:t>
          </a:r>
        </a:p>
      </xdr:txBody>
    </xdr:sp>
    <xdr:clientData/>
  </xdr:twoCellAnchor>
  <xdr:twoCellAnchor editAs="oneCell">
    <xdr:from>
      <xdr:col>93</xdr:col>
      <xdr:colOff>28575</xdr:colOff>
      <xdr:row>61</xdr:row>
      <xdr:rowOff>28574</xdr:rowOff>
    </xdr:from>
    <xdr:to>
      <xdr:col>115</xdr:col>
      <xdr:colOff>95095</xdr:colOff>
      <xdr:row>69</xdr:row>
      <xdr:rowOff>93345</xdr:rowOff>
    </xdr:to>
    <xdr:pic>
      <xdr:nvPicPr>
        <xdr:cNvPr id="6166" name="Picture 6165">
          <a:extLst>
            <a:ext uri="{FF2B5EF4-FFF2-40B4-BE49-F238E27FC236}">
              <a16:creationId xmlns:a16="http://schemas.microsoft.com/office/drawing/2014/main" id="{00000000-0008-0000-0000-00001618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840" r="41136" b="17647"/>
        <a:stretch/>
      </xdr:blipFill>
      <xdr:spPr>
        <a:xfrm>
          <a:off x="10658475" y="10677524"/>
          <a:ext cx="2598265" cy="2057401"/>
        </a:xfrm>
        <a:prstGeom prst="rect">
          <a:avLst/>
        </a:prstGeom>
      </xdr:spPr>
    </xdr:pic>
    <xdr:clientData/>
  </xdr:twoCellAnchor>
  <xdr:twoCellAnchor editAs="oneCell">
    <xdr:from>
      <xdr:col>93</xdr:col>
      <xdr:colOff>38099</xdr:colOff>
      <xdr:row>69</xdr:row>
      <xdr:rowOff>85886</xdr:rowOff>
    </xdr:from>
    <xdr:to>
      <xdr:col>130</xdr:col>
      <xdr:colOff>57478</xdr:colOff>
      <xdr:row>70</xdr:row>
      <xdr:rowOff>207645</xdr:rowOff>
    </xdr:to>
    <xdr:pic>
      <xdr:nvPicPr>
        <xdr:cNvPr id="6167" name="Picture 6166">
          <a:extLst>
            <a:ext uri="{FF2B5EF4-FFF2-40B4-BE49-F238E27FC236}">
              <a16:creationId xmlns:a16="http://schemas.microsoft.com/office/drawing/2014/main" id="{00000000-0008-0000-0000-00001718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81170" r="12987" b="4276"/>
        <a:stretch/>
      </xdr:blipFill>
      <xdr:spPr>
        <a:xfrm>
          <a:off x="10667999" y="12716036"/>
          <a:ext cx="4232287" cy="399889"/>
        </a:xfrm>
        <a:prstGeom prst="rect">
          <a:avLst/>
        </a:prstGeom>
      </xdr:spPr>
    </xdr:pic>
    <xdr:clientData/>
  </xdr:twoCellAnchor>
  <xdr:twoCellAnchor>
    <xdr:from>
      <xdr:col>41</xdr:col>
      <xdr:colOff>19049</xdr:colOff>
      <xdr:row>30</xdr:row>
      <xdr:rowOff>152401</xdr:rowOff>
    </xdr:from>
    <xdr:to>
      <xdr:col>61</xdr:col>
      <xdr:colOff>9524</xdr:colOff>
      <xdr:row>31</xdr:row>
      <xdr:rowOff>171451</xdr:rowOff>
    </xdr:to>
    <xdr:sp macro="[0]!ButtonClick_NeedSpouse" textlink="">
      <xdr:nvSpPr>
        <xdr:cNvPr id="26" name="NeedSpouse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4705349" y="4981576"/>
          <a:ext cx="2276475" cy="20955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Need Spouse</a:t>
          </a:r>
        </a:p>
      </xdr:txBody>
    </xdr:sp>
    <xdr:clientData/>
  </xdr:twoCellAnchor>
  <xdr:twoCellAnchor>
    <xdr:from>
      <xdr:col>67</xdr:col>
      <xdr:colOff>47624</xdr:colOff>
      <xdr:row>34</xdr:row>
      <xdr:rowOff>47625</xdr:rowOff>
    </xdr:from>
    <xdr:to>
      <xdr:col>84</xdr:col>
      <xdr:colOff>47625</xdr:colOff>
      <xdr:row>36</xdr:row>
      <xdr:rowOff>9526</xdr:rowOff>
    </xdr:to>
    <xdr:sp macro="[0]!ButtonClick_WVOE" textlink="">
      <xdr:nvSpPr>
        <xdr:cNvPr id="27" name="WVOE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7705724" y="5514975"/>
          <a:ext cx="1943101" cy="219076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WVOE Before Approval</a:t>
          </a:r>
        </a:p>
      </xdr:txBody>
    </xdr:sp>
    <xdr:clientData/>
  </xdr:twoCellAnchor>
  <xdr:twoCellAnchor>
    <xdr:from>
      <xdr:col>87</xdr:col>
      <xdr:colOff>28575</xdr:colOff>
      <xdr:row>30</xdr:row>
      <xdr:rowOff>133350</xdr:rowOff>
    </xdr:from>
    <xdr:to>
      <xdr:col>104</xdr:col>
      <xdr:colOff>28576</xdr:colOff>
      <xdr:row>31</xdr:row>
      <xdr:rowOff>161926</xdr:rowOff>
    </xdr:to>
    <xdr:sp macro="[0]!ButtonClick_PayingDebt" textlink="">
      <xdr:nvSpPr>
        <xdr:cNvPr id="28" name="PayingDebt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9972675" y="4962525"/>
          <a:ext cx="1943101" cy="219076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Paying</a:t>
          </a:r>
          <a:r>
            <a:rPr lang="en-US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 Debt to Qualify</a:t>
          </a:r>
          <a:endParaRPr lang="en-US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87</xdr:col>
      <xdr:colOff>28575</xdr:colOff>
      <xdr:row>32</xdr:row>
      <xdr:rowOff>9525</xdr:rowOff>
    </xdr:from>
    <xdr:to>
      <xdr:col>104</xdr:col>
      <xdr:colOff>28576</xdr:colOff>
      <xdr:row>33</xdr:row>
      <xdr:rowOff>38101</xdr:rowOff>
    </xdr:to>
    <xdr:sp macro="[0]!ButtonClick_CreditRescore" textlink="">
      <xdr:nvSpPr>
        <xdr:cNvPr id="29" name="CreditRescore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9972675" y="5219700"/>
          <a:ext cx="1943101" cy="219076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Credit Rescore</a:t>
          </a:r>
        </a:p>
      </xdr:txBody>
    </xdr:sp>
    <xdr:clientData/>
  </xdr:twoCellAnchor>
  <xdr:twoCellAnchor>
    <xdr:from>
      <xdr:col>110</xdr:col>
      <xdr:colOff>76200</xdr:colOff>
      <xdr:row>30</xdr:row>
      <xdr:rowOff>114300</xdr:rowOff>
    </xdr:from>
    <xdr:to>
      <xdr:col>127</xdr:col>
      <xdr:colOff>76201</xdr:colOff>
      <xdr:row>31</xdr:row>
      <xdr:rowOff>142876</xdr:rowOff>
    </xdr:to>
    <xdr:sp macro="[0]!ButtonClick_NeedSC" textlink="">
      <xdr:nvSpPr>
        <xdr:cNvPr id="30" name="NeedSC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12649200" y="4943475"/>
          <a:ext cx="1943101" cy="219076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Need Seller</a:t>
          </a:r>
          <a:r>
            <a:rPr lang="en-US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 Credit</a:t>
          </a:r>
          <a:endParaRPr lang="en-US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110</xdr:col>
      <xdr:colOff>76200</xdr:colOff>
      <xdr:row>31</xdr:row>
      <xdr:rowOff>180975</xdr:rowOff>
    </xdr:from>
    <xdr:to>
      <xdr:col>127</xdr:col>
      <xdr:colOff>76201</xdr:colOff>
      <xdr:row>33</xdr:row>
      <xdr:rowOff>19051</xdr:rowOff>
    </xdr:to>
    <xdr:sp macro="[0]!ButtonClick_DPSource" textlink="">
      <xdr:nvSpPr>
        <xdr:cNvPr id="31" name="DPSource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649200" y="5200650"/>
          <a:ext cx="1943101" cy="219076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t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Down</a:t>
          </a:r>
          <a:r>
            <a:rPr lang="en-US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 Payment Source</a:t>
          </a:r>
          <a:endParaRPr lang="en-US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135</xdr:col>
      <xdr:colOff>19051</xdr:colOff>
      <xdr:row>57</xdr:row>
      <xdr:rowOff>238124</xdr:rowOff>
    </xdr:from>
    <xdr:to>
      <xdr:col>144</xdr:col>
      <xdr:colOff>104775</xdr:colOff>
      <xdr:row>59</xdr:row>
      <xdr:rowOff>190499</xdr:rowOff>
    </xdr:to>
    <xdr:sp macro="[0]!CalculatorOnOff" textlink="">
      <xdr:nvSpPr>
        <xdr:cNvPr id="6144" name="CalculatorOnOff">
          <a:extLst>
            <a:ext uri="{FF2B5EF4-FFF2-40B4-BE49-F238E27FC236}">
              <a16:creationId xmlns:a16="http://schemas.microsoft.com/office/drawing/2014/main" id="{00000000-0008-0000-0000-000000180000}"/>
            </a:ext>
          </a:extLst>
        </xdr:cNvPr>
        <xdr:cNvSpPr/>
      </xdr:nvSpPr>
      <xdr:spPr>
        <a:xfrm>
          <a:off x="15449551" y="10048874"/>
          <a:ext cx="1114424" cy="466725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en-US" sz="1600" b="1" i="1">
              <a:solidFill>
                <a:schemeClr val="tx1">
                  <a:lumMod val="95000"/>
                  <a:lumOff val="5000"/>
                </a:schemeClr>
              </a:solidFill>
            </a:rPr>
            <a:t>Calculate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335280</xdr:colOff>
          <xdr:row>6</xdr:row>
          <xdr:rowOff>30480</xdr:rowOff>
        </xdr:from>
        <xdr:to>
          <xdr:col>6</xdr:col>
          <xdr:colOff>563880</xdr:colOff>
          <xdr:row>7</xdr:row>
          <xdr:rowOff>7620</xdr:rowOff>
        </xdr:to>
        <xdr:sp macro="" textlink="">
          <xdr:nvSpPr>
            <xdr:cNvPr id="9230" name="Check Box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1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3300" mc:Ignorable="a14" a14:legacySpreadsheetColorIndex="58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335280</xdr:colOff>
          <xdr:row>7</xdr:row>
          <xdr:rowOff>0</xdr:rowOff>
        </xdr:from>
        <xdr:to>
          <xdr:col>6</xdr:col>
          <xdr:colOff>563880</xdr:colOff>
          <xdr:row>8</xdr:row>
          <xdr:rowOff>7620</xdr:rowOff>
        </xdr:to>
        <xdr:sp macro="" textlink="">
          <xdr:nvSpPr>
            <xdr:cNvPr id="9231" name="Check Box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1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3300" mc:Ignorable="a14" a14:legacySpreadsheetColorIndex="58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335280</xdr:colOff>
          <xdr:row>8</xdr:row>
          <xdr:rowOff>30480</xdr:rowOff>
        </xdr:from>
        <xdr:to>
          <xdr:col>6</xdr:col>
          <xdr:colOff>563880</xdr:colOff>
          <xdr:row>9</xdr:row>
          <xdr:rowOff>7620</xdr:rowOff>
        </xdr:to>
        <xdr:sp macro="" textlink="">
          <xdr:nvSpPr>
            <xdr:cNvPr id="9232" name="Check Box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1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3300" mc:Ignorable="a14" a14:legacySpreadsheetColorIndex="58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335280</xdr:colOff>
          <xdr:row>9</xdr:row>
          <xdr:rowOff>30480</xdr:rowOff>
        </xdr:from>
        <xdr:to>
          <xdr:col>6</xdr:col>
          <xdr:colOff>563880</xdr:colOff>
          <xdr:row>10</xdr:row>
          <xdr:rowOff>0</xdr:rowOff>
        </xdr:to>
        <xdr:sp macro="" textlink="">
          <xdr:nvSpPr>
            <xdr:cNvPr id="9233" name="Check Box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1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3300" mc:Ignorable="a14" a14:legacySpreadsheetColorIndex="58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335280</xdr:colOff>
          <xdr:row>9</xdr:row>
          <xdr:rowOff>175260</xdr:rowOff>
        </xdr:from>
        <xdr:to>
          <xdr:col>6</xdr:col>
          <xdr:colOff>563880</xdr:colOff>
          <xdr:row>11</xdr:row>
          <xdr:rowOff>53340</xdr:rowOff>
        </xdr:to>
        <xdr:sp macro="" textlink="">
          <xdr:nvSpPr>
            <xdr:cNvPr id="9234" name="Check Box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1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3300" mc:Ignorable="a14" a14:legacySpreadsheetColorIndex="58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335280</xdr:colOff>
          <xdr:row>11</xdr:row>
          <xdr:rowOff>38100</xdr:rowOff>
        </xdr:from>
        <xdr:to>
          <xdr:col>6</xdr:col>
          <xdr:colOff>541020</xdr:colOff>
          <xdr:row>11</xdr:row>
          <xdr:rowOff>160020</xdr:rowOff>
        </xdr:to>
        <xdr:sp macro="" textlink="">
          <xdr:nvSpPr>
            <xdr:cNvPr id="9235" name="Check Box 19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1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3300" mc:Ignorable="a14" a14:legacySpreadsheetColorIndex="58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541020</xdr:colOff>
          <xdr:row>0</xdr:row>
          <xdr:rowOff>190500</xdr:rowOff>
        </xdr:from>
        <xdr:to>
          <xdr:col>9</xdr:col>
          <xdr:colOff>769620</xdr:colOff>
          <xdr:row>0</xdr:row>
          <xdr:rowOff>365760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3300" mc:Ignorable="a14" a14:legacySpreadsheetColorIndex="58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556260</xdr:colOff>
          <xdr:row>0</xdr:row>
          <xdr:rowOff>365760</xdr:rowOff>
        </xdr:from>
        <xdr:to>
          <xdr:col>9</xdr:col>
          <xdr:colOff>784860</xdr:colOff>
          <xdr:row>0</xdr:row>
          <xdr:rowOff>541020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3300" mc:Ignorable="a14" a14:legacySpreadsheetColorIndex="58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335280</xdr:colOff>
          <xdr:row>0</xdr:row>
          <xdr:rowOff>563880</xdr:rowOff>
        </xdr:from>
        <xdr:to>
          <xdr:col>9</xdr:col>
          <xdr:colOff>563880</xdr:colOff>
          <xdr:row>0</xdr:row>
          <xdr:rowOff>723900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3300" mc:Ignorable="a14" a14:legacySpreadsheetColorIndex="58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77276-2C5F-428B-9E3E-F3C21C0EBFC3}">
  <sheetPr codeName="Sheet1">
    <pageSetUpPr fitToPage="1"/>
  </sheetPr>
  <dimension ref="AO1:FG74"/>
  <sheetViews>
    <sheetView showGridLines="0" showRowColHeaders="0" tabSelected="1" topLeftCell="T1" zoomScale="130" zoomScaleNormal="130" zoomScaleSheetLayoutView="100" workbookViewId="0">
      <selection activeCell="DO2" sqref="DO2:DZ3"/>
    </sheetView>
  </sheetViews>
  <sheetFormatPr defaultColWidth="1.5546875" defaultRowHeight="15" customHeight="1" x14ac:dyDescent="0.3"/>
  <cols>
    <col min="1" max="16384" width="1.5546875" style="142"/>
  </cols>
  <sheetData>
    <row r="1" spans="41:163" ht="15" customHeight="1" x14ac:dyDescent="0.3">
      <c r="AO1" s="77"/>
      <c r="AP1" s="77"/>
      <c r="AQ1" s="77"/>
      <c r="AR1" s="77"/>
      <c r="AS1" s="77"/>
      <c r="AT1" s="77"/>
      <c r="AU1" s="77"/>
      <c r="AV1" s="77"/>
      <c r="AW1" s="77"/>
      <c r="AX1" s="77"/>
      <c r="AY1" s="77"/>
      <c r="AZ1" s="77"/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7"/>
      <c r="CD1" s="77"/>
      <c r="CE1" s="77"/>
      <c r="CF1" s="77"/>
      <c r="CG1" s="77"/>
      <c r="CH1" s="77"/>
      <c r="CI1" s="77"/>
      <c r="CJ1" s="77"/>
      <c r="CK1" s="77"/>
      <c r="CL1" s="77"/>
      <c r="CM1" s="77"/>
      <c r="CN1" s="77"/>
      <c r="CO1" s="77"/>
      <c r="CP1" s="77"/>
      <c r="CQ1" s="77"/>
      <c r="CR1" s="77"/>
      <c r="CS1" s="77"/>
      <c r="CT1" s="77"/>
      <c r="CU1" s="77"/>
      <c r="CV1" s="77"/>
      <c r="CW1" s="77"/>
      <c r="CX1" s="77"/>
      <c r="CY1" s="77"/>
      <c r="CZ1" s="77"/>
      <c r="DA1" s="77"/>
      <c r="DB1" s="77"/>
      <c r="DC1" s="77"/>
      <c r="DD1" s="77"/>
      <c r="DE1" s="77"/>
      <c r="DF1" s="77"/>
      <c r="DG1" s="77"/>
      <c r="DH1" s="77"/>
      <c r="DI1" s="77"/>
      <c r="DJ1" s="77"/>
      <c r="DK1" s="77"/>
      <c r="DL1" s="77"/>
      <c r="DM1" s="77"/>
      <c r="DN1" s="77"/>
      <c r="DO1" s="77"/>
      <c r="DP1" s="77"/>
      <c r="DQ1" s="77"/>
      <c r="DR1" s="77"/>
      <c r="DS1" s="77"/>
      <c r="DT1" s="77"/>
      <c r="DU1" s="77"/>
      <c r="DV1" s="77"/>
      <c r="DW1" s="77"/>
      <c r="DX1" s="77"/>
      <c r="DY1" s="77"/>
      <c r="DZ1" s="77"/>
      <c r="EA1" s="77"/>
      <c r="EB1" s="77"/>
      <c r="EC1" s="77"/>
      <c r="ED1" s="77"/>
      <c r="FG1" s="180" t="s">
        <v>0</v>
      </c>
    </row>
    <row r="2" spans="41:163" ht="15" customHeight="1" x14ac:dyDescent="0.3"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7"/>
      <c r="BP2" s="77"/>
      <c r="BQ2" s="77"/>
      <c r="BR2" s="77"/>
      <c r="BS2" s="77"/>
      <c r="BT2" s="77"/>
      <c r="BU2" s="77"/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  <c r="CJ2" s="77"/>
      <c r="CK2" s="77"/>
      <c r="CL2" s="77"/>
      <c r="CM2" s="77"/>
      <c r="CN2" s="77"/>
      <c r="CO2" s="77"/>
      <c r="CP2" s="77"/>
      <c r="CQ2" s="77"/>
      <c r="CR2" s="77"/>
      <c r="CS2" s="77"/>
      <c r="CT2" s="77"/>
      <c r="CU2" s="77"/>
      <c r="CV2" s="77"/>
      <c r="CW2" s="146"/>
      <c r="CX2" s="147"/>
      <c r="CY2" s="147"/>
      <c r="CZ2" s="147"/>
      <c r="DA2" s="147"/>
      <c r="DB2" s="147"/>
      <c r="DC2" s="147"/>
      <c r="DD2" s="147"/>
      <c r="DE2" s="147"/>
      <c r="DF2" s="270"/>
      <c r="DG2" s="270"/>
      <c r="DH2" s="270"/>
      <c r="DI2" s="270"/>
      <c r="DJ2" s="270"/>
      <c r="DK2" s="270"/>
      <c r="DL2" s="270"/>
      <c r="DM2" s="270"/>
      <c r="DN2" s="148"/>
      <c r="DO2" s="272"/>
      <c r="DP2" s="272"/>
      <c r="DQ2" s="272"/>
      <c r="DR2" s="272"/>
      <c r="DS2" s="272"/>
      <c r="DT2" s="272"/>
      <c r="DU2" s="272"/>
      <c r="DV2" s="272"/>
      <c r="DW2" s="272"/>
      <c r="DX2" s="272"/>
      <c r="DY2" s="272"/>
      <c r="DZ2" s="272"/>
      <c r="EA2" s="149"/>
      <c r="EB2" s="164"/>
      <c r="EC2" s="77"/>
      <c r="ED2" s="77"/>
    </row>
    <row r="3" spans="41:163" ht="15" customHeight="1" x14ac:dyDescent="0.3">
      <c r="AO3" s="77"/>
      <c r="AP3" s="77"/>
      <c r="AQ3" s="77"/>
      <c r="AR3" s="77"/>
      <c r="AS3" s="77"/>
      <c r="AT3" s="77"/>
      <c r="AU3" s="77"/>
      <c r="AV3" s="77"/>
      <c r="AW3" s="77"/>
      <c r="AX3" s="77"/>
      <c r="AY3" s="77"/>
      <c r="AZ3" s="77"/>
      <c r="BA3" s="77"/>
      <c r="BB3" s="77"/>
      <c r="BC3" s="79"/>
      <c r="BD3" s="101"/>
      <c r="BE3" s="101"/>
      <c r="BF3" s="101"/>
      <c r="BG3" s="101"/>
      <c r="BH3" s="101"/>
      <c r="BI3" s="101"/>
      <c r="BJ3" s="80"/>
      <c r="BK3" s="80"/>
      <c r="BL3" s="80"/>
      <c r="BM3" s="81"/>
      <c r="BN3" s="81"/>
      <c r="BO3" s="77"/>
      <c r="BP3" s="77"/>
      <c r="BQ3" s="77"/>
      <c r="BR3" s="77"/>
      <c r="BS3" s="77"/>
      <c r="BT3" s="77"/>
      <c r="BU3" s="77"/>
      <c r="BV3" s="77"/>
      <c r="BW3" s="77"/>
      <c r="BX3" s="77"/>
      <c r="BY3" s="77"/>
      <c r="BZ3" s="77"/>
      <c r="CA3" s="77"/>
      <c r="CB3" s="77"/>
      <c r="CC3" s="77"/>
      <c r="CD3" s="77"/>
      <c r="CE3" s="77"/>
      <c r="CF3" s="77"/>
      <c r="CG3" s="77"/>
      <c r="CH3" s="77"/>
      <c r="CI3" s="77"/>
      <c r="CJ3" s="77"/>
      <c r="CK3" s="77"/>
      <c r="CL3" s="77"/>
      <c r="CM3" s="77"/>
      <c r="CN3" s="77"/>
      <c r="CO3" s="77"/>
      <c r="CP3" s="77"/>
      <c r="CQ3" s="77"/>
      <c r="CR3" s="77"/>
      <c r="CS3" s="77"/>
      <c r="CT3" s="77"/>
      <c r="CU3" s="77"/>
      <c r="CV3" s="77"/>
      <c r="CW3" s="151"/>
      <c r="CX3" s="276" t="s">
        <v>1</v>
      </c>
      <c r="CY3" s="276"/>
      <c r="CZ3" s="276"/>
      <c r="DA3" s="276"/>
      <c r="DB3" s="276"/>
      <c r="DC3" s="276"/>
      <c r="DD3" s="276"/>
      <c r="DE3" s="276"/>
      <c r="DF3" s="276"/>
      <c r="DG3" s="276"/>
      <c r="DH3" s="276"/>
      <c r="DI3" s="153"/>
      <c r="DJ3" s="153"/>
      <c r="DK3" s="153" t="s">
        <v>2</v>
      </c>
      <c r="DL3" s="153"/>
      <c r="DM3" s="153"/>
      <c r="DN3" s="153"/>
      <c r="DO3" s="273"/>
      <c r="DP3" s="273"/>
      <c r="DQ3" s="273"/>
      <c r="DR3" s="273"/>
      <c r="DS3" s="273"/>
      <c r="DT3" s="273"/>
      <c r="DU3" s="273"/>
      <c r="DV3" s="273"/>
      <c r="DW3" s="273"/>
      <c r="DX3" s="273"/>
      <c r="DY3" s="273"/>
      <c r="DZ3" s="273"/>
      <c r="EA3" s="150"/>
      <c r="EB3" s="165"/>
      <c r="EC3" s="77"/>
      <c r="ED3" s="77"/>
    </row>
    <row r="4" spans="41:163" ht="5.0999999999999996" customHeight="1" x14ac:dyDescent="0.3"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77"/>
      <c r="BA4" s="77"/>
      <c r="BB4" s="77"/>
      <c r="BC4" s="79"/>
      <c r="BD4" s="101"/>
      <c r="BE4" s="101"/>
      <c r="BF4" s="101"/>
      <c r="BG4" s="101"/>
      <c r="BH4" s="101"/>
      <c r="BI4" s="101"/>
      <c r="BJ4" s="80"/>
      <c r="BK4" s="80"/>
      <c r="BL4" s="80"/>
      <c r="BM4" s="81"/>
      <c r="BN4" s="81"/>
      <c r="BO4" s="77"/>
      <c r="BP4" s="77"/>
      <c r="BQ4" s="77"/>
      <c r="BR4" s="77"/>
      <c r="BS4" s="77"/>
      <c r="BT4" s="77"/>
      <c r="BU4" s="77"/>
      <c r="BV4" s="77"/>
      <c r="BW4" s="77"/>
      <c r="BX4" s="77"/>
      <c r="BY4" s="77"/>
      <c r="BZ4" s="77"/>
      <c r="CA4" s="77"/>
      <c r="CB4" s="77"/>
      <c r="CC4" s="77"/>
      <c r="CD4" s="77"/>
      <c r="CE4" s="77"/>
      <c r="CF4" s="77"/>
      <c r="CG4" s="77"/>
      <c r="CH4" s="77"/>
      <c r="CI4" s="77"/>
      <c r="CJ4" s="77"/>
      <c r="CK4" s="77"/>
      <c r="CL4" s="77"/>
      <c r="CM4" s="77"/>
      <c r="CN4" s="77"/>
      <c r="CO4" s="77"/>
      <c r="CP4" s="77"/>
      <c r="CQ4" s="77"/>
      <c r="CR4" s="77"/>
      <c r="CS4" s="77"/>
      <c r="CT4" s="77"/>
      <c r="CU4" s="77"/>
      <c r="CV4" s="77"/>
      <c r="CW4" s="151"/>
      <c r="CX4" s="150"/>
      <c r="CY4" s="150"/>
      <c r="CZ4" s="150"/>
      <c r="DA4" s="150"/>
      <c r="DB4" s="150"/>
      <c r="DC4" s="150"/>
      <c r="DD4" s="154"/>
      <c r="DE4" s="154"/>
      <c r="DF4" s="154"/>
      <c r="DG4" s="154"/>
      <c r="DH4" s="154"/>
      <c r="DI4" s="154"/>
      <c r="DJ4" s="154"/>
      <c r="DK4" s="154"/>
      <c r="DL4" s="154"/>
      <c r="DM4" s="154"/>
      <c r="DN4" s="154"/>
      <c r="DO4" s="152"/>
      <c r="DP4" s="152"/>
      <c r="DQ4" s="152"/>
      <c r="DR4" s="152"/>
      <c r="DS4" s="152"/>
      <c r="DT4" s="150"/>
      <c r="DU4" s="150"/>
      <c r="DV4" s="150"/>
      <c r="DW4" s="150"/>
      <c r="DX4" s="150"/>
      <c r="DY4" s="150"/>
      <c r="DZ4" s="150"/>
      <c r="EA4" s="150"/>
      <c r="EB4" s="165"/>
      <c r="EC4" s="77"/>
      <c r="ED4" s="77"/>
    </row>
    <row r="5" spans="41:163" ht="15" customHeight="1" x14ac:dyDescent="0.3">
      <c r="AO5" s="77"/>
      <c r="AP5" s="77"/>
      <c r="AQ5" s="77"/>
      <c r="AR5" s="77"/>
      <c r="AS5" s="77"/>
      <c r="AT5" s="77"/>
      <c r="AU5" s="77"/>
      <c r="AV5" s="77"/>
      <c r="AW5" s="77"/>
      <c r="AX5" s="77"/>
      <c r="AY5" s="77"/>
      <c r="AZ5" s="77"/>
      <c r="BA5" s="77"/>
      <c r="BB5" s="77"/>
      <c r="BC5" s="79"/>
      <c r="BD5" s="77"/>
      <c r="BE5" s="77"/>
      <c r="BF5" s="77"/>
      <c r="BG5" s="82"/>
      <c r="BH5" s="82"/>
      <c r="BI5" s="83"/>
      <c r="BJ5" s="83"/>
      <c r="BK5" s="82"/>
      <c r="BL5" s="82"/>
      <c r="BM5" s="83"/>
      <c r="BN5" s="83"/>
      <c r="BO5" s="83"/>
      <c r="BP5" s="83"/>
      <c r="BQ5" s="77"/>
      <c r="BR5" s="77"/>
      <c r="BS5" s="77"/>
      <c r="BT5" s="77"/>
      <c r="BU5" s="77"/>
      <c r="BV5" s="77"/>
      <c r="BW5" s="77"/>
      <c r="BX5" s="77"/>
      <c r="BY5" s="77"/>
      <c r="BZ5" s="77"/>
      <c r="CA5" s="77"/>
      <c r="CB5" s="77"/>
      <c r="CC5" s="77"/>
      <c r="CD5" s="77"/>
      <c r="CE5" s="77"/>
      <c r="CF5" s="77"/>
      <c r="CG5" s="77"/>
      <c r="CH5" s="77"/>
      <c r="CI5" s="77"/>
      <c r="CJ5" s="77"/>
      <c r="CK5" s="77"/>
      <c r="CL5" s="77"/>
      <c r="CM5" s="77"/>
      <c r="CN5" s="77"/>
      <c r="CO5" s="77"/>
      <c r="CP5" s="77"/>
      <c r="CQ5" s="77"/>
      <c r="CR5" s="77"/>
      <c r="CS5" s="77"/>
      <c r="CT5" s="77"/>
      <c r="CU5" s="77"/>
      <c r="CV5" s="77"/>
      <c r="CW5" s="151"/>
      <c r="CX5" s="150"/>
      <c r="CY5" s="150"/>
      <c r="CZ5" s="150"/>
      <c r="DA5" s="150"/>
      <c r="DB5" s="150"/>
      <c r="DC5" s="150"/>
      <c r="DD5" s="150"/>
      <c r="DE5" s="150"/>
      <c r="DF5" s="155"/>
      <c r="DG5" s="155"/>
      <c r="DH5" s="155"/>
      <c r="DI5" s="155"/>
      <c r="DJ5" s="155"/>
      <c r="DK5" s="155"/>
      <c r="DL5" s="155"/>
      <c r="DM5" s="156"/>
      <c r="DN5" s="156"/>
      <c r="DO5" s="156"/>
      <c r="DP5" s="156"/>
      <c r="DQ5" s="156"/>
      <c r="DR5" s="156"/>
      <c r="DS5" s="155"/>
      <c r="DT5" s="155"/>
      <c r="DU5" s="155"/>
      <c r="DV5" s="155"/>
      <c r="DW5" s="155"/>
      <c r="DX5" s="155"/>
      <c r="DY5" s="155"/>
      <c r="DZ5" s="155"/>
      <c r="EA5" s="156"/>
      <c r="EB5" s="172"/>
      <c r="EC5" s="77"/>
      <c r="ED5" s="77"/>
    </row>
    <row r="6" spans="41:163" ht="15" customHeight="1" x14ac:dyDescent="0.3">
      <c r="AO6" s="77"/>
      <c r="AP6" s="77"/>
      <c r="AQ6" s="77"/>
      <c r="AR6" s="77"/>
      <c r="AS6" s="77"/>
      <c r="AT6" s="77"/>
      <c r="AU6" s="77"/>
      <c r="AV6" s="77"/>
      <c r="AW6" s="77"/>
      <c r="AX6" s="77"/>
      <c r="AY6" s="77"/>
      <c r="AZ6" s="77"/>
      <c r="BA6" s="77"/>
      <c r="BB6" s="77"/>
      <c r="BC6" s="79"/>
      <c r="BD6" s="77"/>
      <c r="BE6" s="77"/>
      <c r="BF6" s="77"/>
      <c r="BG6" s="82"/>
      <c r="BH6" s="82"/>
      <c r="BI6" s="83"/>
      <c r="BJ6" s="83"/>
      <c r="BK6" s="82"/>
      <c r="BL6" s="82"/>
      <c r="BM6" s="83"/>
      <c r="BN6" s="83"/>
      <c r="BO6" s="83"/>
      <c r="BP6" s="83"/>
      <c r="BQ6" s="77"/>
      <c r="BR6" s="77"/>
      <c r="BS6" s="77"/>
      <c r="BT6" s="77"/>
      <c r="BU6" s="77"/>
      <c r="BV6" s="77"/>
      <c r="BW6" s="77"/>
      <c r="BX6" s="77"/>
      <c r="BY6" s="77"/>
      <c r="BZ6" s="77"/>
      <c r="CA6" s="77"/>
      <c r="CB6" s="77"/>
      <c r="CC6" s="77"/>
      <c r="CD6" s="77"/>
      <c r="CE6" s="77"/>
      <c r="CF6" s="77"/>
      <c r="CG6" s="77"/>
      <c r="CH6" s="77"/>
      <c r="CI6" s="77"/>
      <c r="CJ6" s="77"/>
      <c r="CK6" s="77"/>
      <c r="CL6" s="77"/>
      <c r="CM6" s="77"/>
      <c r="CN6" s="77"/>
      <c r="CO6" s="77"/>
      <c r="CP6" s="77"/>
      <c r="CQ6" s="77"/>
      <c r="CR6" s="77"/>
      <c r="CS6" s="77"/>
      <c r="CT6" s="77"/>
      <c r="CU6" s="77"/>
      <c r="CV6" s="77"/>
      <c r="CW6" s="151"/>
      <c r="CX6" s="150"/>
      <c r="CY6" s="150"/>
      <c r="CZ6" s="150"/>
      <c r="DA6" s="150"/>
      <c r="DB6" s="150"/>
      <c r="DC6" s="150"/>
      <c r="DD6" s="150"/>
      <c r="DE6" s="150"/>
      <c r="DF6" s="155"/>
      <c r="DG6" s="155"/>
      <c r="DH6" s="155"/>
      <c r="DI6" s="155"/>
      <c r="DJ6" s="155"/>
      <c r="DK6" s="155"/>
      <c r="DL6" s="155"/>
      <c r="DM6" s="155"/>
      <c r="DN6" s="156"/>
      <c r="DO6" s="156"/>
      <c r="DP6" s="156"/>
      <c r="DQ6" s="156"/>
      <c r="DR6" s="156"/>
      <c r="DS6" s="155"/>
      <c r="DT6" s="155"/>
      <c r="DU6" s="155"/>
      <c r="DV6" s="155"/>
      <c r="DW6" s="155"/>
      <c r="DX6" s="155"/>
      <c r="DY6" s="155"/>
      <c r="DZ6" s="156"/>
      <c r="EA6" s="156"/>
      <c r="EB6" s="172"/>
      <c r="EC6" s="77"/>
      <c r="ED6" s="77"/>
    </row>
    <row r="7" spans="41:163" ht="5.0999999999999996" customHeight="1" x14ac:dyDescent="0.3">
      <c r="AO7" s="77"/>
      <c r="AP7" s="77"/>
      <c r="AQ7" s="77"/>
      <c r="AR7" s="77"/>
      <c r="AS7" s="77"/>
      <c r="AT7" s="77"/>
      <c r="AU7" s="77"/>
      <c r="AV7" s="77"/>
      <c r="AW7" s="77"/>
      <c r="AX7" s="77"/>
      <c r="AY7" s="77"/>
      <c r="AZ7" s="77"/>
      <c r="BA7" s="77"/>
      <c r="BB7" s="77"/>
      <c r="BC7" s="79"/>
      <c r="BD7" s="77"/>
      <c r="BE7" s="77"/>
      <c r="BF7" s="77"/>
      <c r="BG7" s="82"/>
      <c r="BH7" s="82"/>
      <c r="BI7" s="83"/>
      <c r="BJ7" s="83"/>
      <c r="BK7" s="82"/>
      <c r="BL7" s="82"/>
      <c r="BM7" s="83"/>
      <c r="BN7" s="83"/>
      <c r="BO7" s="83"/>
      <c r="BP7" s="83"/>
      <c r="BQ7" s="77"/>
      <c r="BR7" s="77"/>
      <c r="BS7" s="77"/>
      <c r="BT7" s="77"/>
      <c r="BU7" s="77"/>
      <c r="BV7" s="77"/>
      <c r="BW7" s="77"/>
      <c r="BX7" s="77"/>
      <c r="BY7" s="77"/>
      <c r="BZ7" s="77"/>
      <c r="CA7" s="77"/>
      <c r="CB7" s="77"/>
      <c r="CC7" s="77"/>
      <c r="CD7" s="77"/>
      <c r="CE7" s="77"/>
      <c r="CF7" s="77"/>
      <c r="CG7" s="77"/>
      <c r="CH7" s="77"/>
      <c r="CI7" s="77"/>
      <c r="CJ7" s="77"/>
      <c r="CK7" s="77"/>
      <c r="CL7" s="77"/>
      <c r="CM7" s="77"/>
      <c r="CN7" s="77"/>
      <c r="CO7" s="77"/>
      <c r="CP7" s="77"/>
      <c r="CQ7" s="77"/>
      <c r="CR7" s="77"/>
      <c r="CS7" s="77"/>
      <c r="CT7" s="77"/>
      <c r="CU7" s="77"/>
      <c r="CV7" s="77"/>
      <c r="CW7" s="151"/>
      <c r="CX7" s="150"/>
      <c r="CY7" s="150"/>
      <c r="CZ7" s="150"/>
      <c r="DA7" s="150"/>
      <c r="DB7" s="150"/>
      <c r="DC7" s="150"/>
      <c r="DD7" s="150"/>
      <c r="DE7" s="150"/>
      <c r="DF7" s="157"/>
      <c r="DG7" s="157"/>
      <c r="DH7" s="157"/>
      <c r="DI7" s="157"/>
      <c r="DJ7" s="157"/>
      <c r="DK7" s="157"/>
      <c r="DL7" s="157"/>
      <c r="DM7" s="157"/>
      <c r="DN7" s="156"/>
      <c r="DO7" s="156"/>
      <c r="DP7" s="156"/>
      <c r="DQ7" s="156"/>
      <c r="DR7" s="156"/>
      <c r="DS7" s="157"/>
      <c r="DT7" s="157"/>
      <c r="DU7" s="157"/>
      <c r="DV7" s="157"/>
      <c r="DW7" s="157"/>
      <c r="DX7" s="157"/>
      <c r="DY7" s="157"/>
      <c r="DZ7" s="156"/>
      <c r="EA7" s="156"/>
      <c r="EB7" s="172"/>
      <c r="EC7" s="77"/>
      <c r="ED7" s="77"/>
    </row>
    <row r="8" spans="41:163" ht="15" customHeight="1" x14ac:dyDescent="0.3">
      <c r="AO8" s="77"/>
      <c r="AP8" s="77"/>
      <c r="AQ8" s="77"/>
      <c r="AR8" s="77"/>
      <c r="AS8" s="77"/>
      <c r="AT8" s="77"/>
      <c r="AU8" s="77"/>
      <c r="AV8" s="77"/>
      <c r="AW8" s="77"/>
      <c r="AX8" s="77"/>
      <c r="AY8" s="77"/>
      <c r="AZ8" s="77"/>
      <c r="BA8" s="77"/>
      <c r="BB8" s="77"/>
      <c r="BC8" s="79"/>
      <c r="BD8" s="100"/>
      <c r="BE8" s="100"/>
      <c r="BF8" s="100"/>
      <c r="BG8" s="100"/>
      <c r="BH8" s="100"/>
      <c r="BI8" s="100"/>
      <c r="BJ8" s="84"/>
      <c r="BK8" s="84"/>
      <c r="BL8" s="84"/>
      <c r="BM8" s="100"/>
      <c r="BN8" s="100"/>
      <c r="BO8" s="100"/>
      <c r="BP8" s="100"/>
      <c r="BQ8" s="77"/>
      <c r="BR8" s="77"/>
      <c r="BS8" s="77"/>
      <c r="BT8" s="77"/>
      <c r="BU8" s="77"/>
      <c r="BV8" s="77"/>
      <c r="BW8" s="77"/>
      <c r="BX8" s="77"/>
      <c r="BY8" s="77"/>
      <c r="BZ8" s="77"/>
      <c r="CA8" s="77"/>
      <c r="CB8" s="77"/>
      <c r="CC8" s="77"/>
      <c r="CD8" s="77"/>
      <c r="CE8" s="77"/>
      <c r="CF8" s="77"/>
      <c r="CG8" s="77"/>
      <c r="CH8" s="77"/>
      <c r="CI8" s="77"/>
      <c r="CJ8" s="77"/>
      <c r="CK8" s="77"/>
      <c r="CL8" s="77"/>
      <c r="CM8" s="77"/>
      <c r="CN8" s="77"/>
      <c r="CO8" s="77"/>
      <c r="CP8" s="77"/>
      <c r="CQ8" s="77"/>
      <c r="CR8" s="77"/>
      <c r="CS8" s="77"/>
      <c r="CT8" s="77"/>
      <c r="CU8" s="77"/>
      <c r="CV8" s="77"/>
      <c r="CW8" s="151"/>
      <c r="CX8" s="276" t="s">
        <v>3</v>
      </c>
      <c r="CY8" s="276"/>
      <c r="CZ8" s="276"/>
      <c r="DA8" s="276"/>
      <c r="DB8" s="276"/>
      <c r="DC8" s="276"/>
      <c r="DD8" s="276"/>
      <c r="DE8" s="276"/>
      <c r="DF8" s="276"/>
      <c r="DG8" s="276"/>
      <c r="DH8" s="276"/>
      <c r="DI8" s="276"/>
      <c r="DJ8" s="153"/>
      <c r="DK8" s="153"/>
      <c r="DL8" s="153"/>
      <c r="DM8" s="153"/>
      <c r="DN8" s="153"/>
      <c r="DO8" s="153"/>
      <c r="DP8" s="153" t="s">
        <v>4</v>
      </c>
      <c r="DQ8" s="153"/>
      <c r="DR8" s="153"/>
      <c r="DS8" s="153"/>
      <c r="DT8" s="153"/>
      <c r="DU8" s="153"/>
      <c r="DV8" s="153"/>
      <c r="DW8" s="153"/>
      <c r="DX8" s="153"/>
      <c r="DY8" s="153"/>
      <c r="DZ8" s="153"/>
      <c r="EA8" s="158"/>
      <c r="EB8" s="173"/>
      <c r="EC8" s="77"/>
      <c r="ED8" s="77"/>
    </row>
    <row r="9" spans="41:163" ht="5.0999999999999996" customHeight="1" x14ac:dyDescent="0.3">
      <c r="AO9" s="77"/>
      <c r="AP9" s="77"/>
      <c r="AQ9" s="77"/>
      <c r="AR9" s="77"/>
      <c r="AS9" s="77"/>
      <c r="AT9" s="77"/>
      <c r="AU9" s="77"/>
      <c r="AV9" s="77"/>
      <c r="AW9" s="77"/>
      <c r="AX9" s="77"/>
      <c r="AY9" s="77"/>
      <c r="AZ9" s="77"/>
      <c r="BA9" s="77"/>
      <c r="BB9" s="77"/>
      <c r="BC9" s="79"/>
      <c r="BD9" s="100"/>
      <c r="BE9" s="100"/>
      <c r="BF9" s="100"/>
      <c r="BG9" s="100"/>
      <c r="BH9" s="100"/>
      <c r="BI9" s="100"/>
      <c r="BJ9" s="84"/>
      <c r="BK9" s="84"/>
      <c r="BL9" s="84"/>
      <c r="BM9" s="100"/>
      <c r="BN9" s="100"/>
      <c r="BO9" s="100"/>
      <c r="BP9" s="100"/>
      <c r="BQ9" s="77"/>
      <c r="BR9" s="77"/>
      <c r="BS9" s="77"/>
      <c r="BT9" s="77"/>
      <c r="BU9" s="77"/>
      <c r="BV9" s="77"/>
      <c r="BW9" s="77"/>
      <c r="BX9" s="77"/>
      <c r="BY9" s="77"/>
      <c r="BZ9" s="77"/>
      <c r="CA9" s="77"/>
      <c r="CB9" s="77"/>
      <c r="CC9" s="77"/>
      <c r="CD9" s="77"/>
      <c r="CE9" s="77"/>
      <c r="CF9" s="77"/>
      <c r="CG9" s="77"/>
      <c r="CH9" s="77"/>
      <c r="CI9" s="77"/>
      <c r="CJ9" s="77"/>
      <c r="CK9" s="77"/>
      <c r="CL9" s="77"/>
      <c r="CM9" s="77"/>
      <c r="CN9" s="77"/>
      <c r="CO9" s="77"/>
      <c r="CP9" s="77"/>
      <c r="CQ9" s="77"/>
      <c r="CR9" s="77"/>
      <c r="CS9" s="77"/>
      <c r="CT9" s="77"/>
      <c r="CU9" s="77"/>
      <c r="CV9" s="77"/>
      <c r="CW9" s="151"/>
      <c r="CX9" s="274"/>
      <c r="CY9" s="274"/>
      <c r="CZ9" s="274"/>
      <c r="DA9" s="274"/>
      <c r="DB9" s="274"/>
      <c r="DC9" s="274"/>
      <c r="DD9" s="274"/>
      <c r="DE9" s="274"/>
      <c r="DF9" s="274"/>
      <c r="DG9" s="274"/>
      <c r="DH9" s="274"/>
      <c r="DI9" s="274"/>
      <c r="DJ9" s="274"/>
      <c r="DK9" s="274"/>
      <c r="DL9" s="274"/>
      <c r="DM9" s="274"/>
      <c r="DN9" s="153"/>
      <c r="DO9" s="153"/>
      <c r="DP9" s="277"/>
      <c r="DQ9" s="277"/>
      <c r="DR9" s="277"/>
      <c r="DS9" s="277"/>
      <c r="DT9" s="277"/>
      <c r="DU9" s="277"/>
      <c r="DV9" s="277"/>
      <c r="DW9" s="277"/>
      <c r="DX9" s="277"/>
      <c r="DY9" s="277"/>
      <c r="DZ9" s="277"/>
      <c r="EA9" s="277"/>
      <c r="EB9" s="173"/>
      <c r="EC9" s="77"/>
      <c r="ED9" s="77"/>
    </row>
    <row r="10" spans="41:163" ht="15" customHeight="1" x14ac:dyDescent="0.3">
      <c r="AO10" s="77"/>
      <c r="AP10" s="77"/>
      <c r="AQ10" s="77"/>
      <c r="AR10" s="77"/>
      <c r="AS10" s="77"/>
      <c r="AT10" s="77"/>
      <c r="AU10" s="77"/>
      <c r="AV10" s="77"/>
      <c r="AW10" s="77"/>
      <c r="AX10" s="77"/>
      <c r="AY10" s="77"/>
      <c r="AZ10" s="77"/>
      <c r="BA10" s="77"/>
      <c r="BB10" s="77"/>
      <c r="BC10" s="101"/>
      <c r="BD10" s="101"/>
      <c r="BE10" s="101"/>
      <c r="BF10" s="101"/>
      <c r="BG10" s="101"/>
      <c r="BH10" s="101"/>
      <c r="BI10" s="101"/>
      <c r="BJ10" s="101"/>
      <c r="BK10" s="101"/>
      <c r="BL10" s="101"/>
      <c r="BM10" s="101"/>
      <c r="BN10" s="101"/>
      <c r="BO10" s="101"/>
      <c r="BP10" s="101"/>
      <c r="BQ10" s="77"/>
      <c r="BR10" s="77"/>
      <c r="BS10" s="77"/>
      <c r="BT10" s="77"/>
      <c r="BU10" s="77"/>
      <c r="BV10" s="77"/>
      <c r="BW10" s="77"/>
      <c r="BX10" s="77"/>
      <c r="BY10" s="77"/>
      <c r="BZ10" s="77"/>
      <c r="CA10" s="77"/>
      <c r="CB10" s="77"/>
      <c r="CC10" s="77"/>
      <c r="CD10" s="77"/>
      <c r="CE10" s="77"/>
      <c r="CF10" s="77"/>
      <c r="CG10" s="77"/>
      <c r="CH10" s="77"/>
      <c r="CI10" s="77"/>
      <c r="CJ10" s="77"/>
      <c r="CK10" s="77"/>
      <c r="CL10" s="77"/>
      <c r="CM10" s="77"/>
      <c r="CN10" s="77"/>
      <c r="CO10" s="77"/>
      <c r="CP10" s="77"/>
      <c r="CQ10" s="77"/>
      <c r="CR10" s="77"/>
      <c r="CS10" s="77"/>
      <c r="CT10" s="77"/>
      <c r="CU10" s="77"/>
      <c r="CV10" s="77"/>
      <c r="CW10" s="160"/>
      <c r="CX10" s="275"/>
      <c r="CY10" s="275"/>
      <c r="CZ10" s="275"/>
      <c r="DA10" s="275"/>
      <c r="DB10" s="275"/>
      <c r="DC10" s="275"/>
      <c r="DD10" s="275"/>
      <c r="DE10" s="275"/>
      <c r="DF10" s="275"/>
      <c r="DG10" s="275"/>
      <c r="DH10" s="275"/>
      <c r="DI10" s="275"/>
      <c r="DJ10" s="275"/>
      <c r="DK10" s="275"/>
      <c r="DL10" s="275"/>
      <c r="DM10" s="275"/>
      <c r="DN10" s="153"/>
      <c r="DO10" s="153"/>
      <c r="DP10" s="278"/>
      <c r="DQ10" s="278"/>
      <c r="DR10" s="278"/>
      <c r="DS10" s="278"/>
      <c r="DT10" s="278"/>
      <c r="DU10" s="278"/>
      <c r="DV10" s="278"/>
      <c r="DW10" s="278"/>
      <c r="DX10" s="278"/>
      <c r="DY10" s="278"/>
      <c r="DZ10" s="278"/>
      <c r="EA10" s="278"/>
      <c r="EB10" s="174"/>
      <c r="EC10" s="77"/>
      <c r="ED10" s="77"/>
    </row>
    <row r="11" spans="41:163" ht="5.0999999999999996" customHeight="1" x14ac:dyDescent="0.3">
      <c r="AO11" s="77"/>
      <c r="AP11" s="77"/>
      <c r="AQ11" s="77"/>
      <c r="AR11" s="77"/>
      <c r="AS11" s="77"/>
      <c r="AT11" s="77"/>
      <c r="AU11" s="77"/>
      <c r="AV11" s="77"/>
      <c r="AW11" s="77"/>
      <c r="AX11" s="77"/>
      <c r="AY11" s="77"/>
      <c r="AZ11" s="77"/>
      <c r="BA11" s="77"/>
      <c r="BB11" s="77"/>
      <c r="BC11" s="101"/>
      <c r="BD11" s="101"/>
      <c r="BE11" s="101"/>
      <c r="BF11" s="101"/>
      <c r="BG11" s="101"/>
      <c r="BH11" s="101"/>
      <c r="BI11" s="101"/>
      <c r="BJ11" s="101"/>
      <c r="BK11" s="101"/>
      <c r="BL11" s="101"/>
      <c r="BM11" s="101"/>
      <c r="BN11" s="101"/>
      <c r="BO11" s="101"/>
      <c r="BP11" s="101"/>
      <c r="BQ11" s="77"/>
      <c r="BR11" s="77"/>
      <c r="BS11" s="77"/>
      <c r="BT11" s="77"/>
      <c r="BU11" s="77"/>
      <c r="BV11" s="77"/>
      <c r="BW11" s="77"/>
      <c r="BX11" s="77"/>
      <c r="BY11" s="77"/>
      <c r="BZ11" s="77"/>
      <c r="CA11" s="77"/>
      <c r="CB11" s="77"/>
      <c r="CC11" s="77"/>
      <c r="CD11" s="77"/>
      <c r="CE11" s="77"/>
      <c r="CF11" s="77"/>
      <c r="CG11" s="77"/>
      <c r="CH11" s="77"/>
      <c r="CI11" s="77"/>
      <c r="CJ11" s="77"/>
      <c r="CK11" s="77"/>
      <c r="CL11" s="77"/>
      <c r="CM11" s="77"/>
      <c r="CN11" s="77"/>
      <c r="CO11" s="77"/>
      <c r="CP11" s="77"/>
      <c r="CQ11" s="77"/>
      <c r="CR11" s="77"/>
      <c r="CS11" s="77"/>
      <c r="CT11" s="77"/>
      <c r="CU11" s="77"/>
      <c r="CV11" s="77"/>
      <c r="CW11" s="151"/>
      <c r="CX11" s="150"/>
      <c r="CY11" s="150"/>
      <c r="CZ11" s="150"/>
      <c r="DA11" s="150"/>
      <c r="DB11" s="150"/>
      <c r="DC11" s="150"/>
      <c r="DD11" s="150"/>
      <c r="DE11" s="150"/>
      <c r="DF11" s="150"/>
      <c r="DG11" s="150"/>
      <c r="DH11" s="150"/>
      <c r="DI11" s="150"/>
      <c r="DJ11" s="150"/>
      <c r="DK11" s="150"/>
      <c r="DL11" s="150"/>
      <c r="DM11" s="150"/>
      <c r="DN11" s="150"/>
      <c r="DO11" s="150"/>
      <c r="DP11" s="150"/>
      <c r="DQ11" s="150"/>
      <c r="DR11" s="150"/>
      <c r="DS11" s="150"/>
      <c r="DT11" s="150"/>
      <c r="DU11" s="150"/>
      <c r="DV11" s="150"/>
      <c r="DW11" s="150"/>
      <c r="DX11" s="150"/>
      <c r="DY11" s="150"/>
      <c r="DZ11" s="150"/>
      <c r="EA11" s="150"/>
      <c r="EB11" s="174"/>
      <c r="EC11" s="77"/>
      <c r="ED11" s="77"/>
    </row>
    <row r="12" spans="41:163" ht="15" customHeight="1" x14ac:dyDescent="0.3">
      <c r="AO12" s="77"/>
      <c r="AP12" s="77"/>
      <c r="AQ12" s="77"/>
      <c r="AR12" s="77"/>
      <c r="AS12" s="77"/>
      <c r="AT12" s="77"/>
      <c r="AU12" s="77"/>
      <c r="AV12" s="77"/>
      <c r="AW12" s="77"/>
      <c r="AX12" s="77"/>
      <c r="AY12" s="77"/>
      <c r="AZ12" s="77"/>
      <c r="BA12" s="77"/>
      <c r="BB12" s="77"/>
      <c r="BC12" s="79"/>
      <c r="BD12" s="100"/>
      <c r="BE12" s="100"/>
      <c r="BF12" s="100"/>
      <c r="BG12" s="100"/>
      <c r="BH12" s="100"/>
      <c r="BI12" s="100"/>
      <c r="BJ12" s="100"/>
      <c r="BK12" s="84"/>
      <c r="BL12" s="84"/>
      <c r="BM12" s="77"/>
      <c r="BN12" s="77"/>
      <c r="BO12" s="77"/>
      <c r="BP12" s="77"/>
      <c r="BQ12" s="77"/>
      <c r="BR12" s="77"/>
      <c r="BS12" s="77"/>
      <c r="BT12" s="77"/>
      <c r="BU12" s="77"/>
      <c r="BV12" s="77"/>
      <c r="BW12" s="77"/>
      <c r="BX12" s="77"/>
      <c r="BY12" s="77"/>
      <c r="BZ12" s="77"/>
      <c r="CA12" s="77"/>
      <c r="CB12" s="77"/>
      <c r="CC12" s="77"/>
      <c r="CD12" s="77"/>
      <c r="CE12" s="77"/>
      <c r="CF12" s="77"/>
      <c r="CG12" s="77"/>
      <c r="CH12" s="77"/>
      <c r="CI12" s="77"/>
      <c r="CJ12" s="77"/>
      <c r="CK12" s="77"/>
      <c r="CL12" s="77"/>
      <c r="CM12" s="77"/>
      <c r="CN12" s="77"/>
      <c r="CO12" s="77"/>
      <c r="CP12" s="77"/>
      <c r="CQ12" s="77"/>
      <c r="CR12" s="77"/>
      <c r="CS12" s="77"/>
      <c r="CT12" s="77"/>
      <c r="CU12" s="77"/>
      <c r="CV12" s="77"/>
      <c r="CW12" s="151"/>
      <c r="CX12" s="276" t="s">
        <v>5</v>
      </c>
      <c r="CY12" s="276"/>
      <c r="CZ12" s="276"/>
      <c r="DA12" s="276"/>
      <c r="DB12" s="276"/>
      <c r="DC12" s="276"/>
      <c r="DD12" s="276"/>
      <c r="DE12" s="276"/>
      <c r="DF12" s="276"/>
      <c r="DG12" s="276"/>
      <c r="DH12" s="276"/>
      <c r="DI12" s="153"/>
      <c r="DJ12" s="153"/>
      <c r="DK12" s="153"/>
      <c r="DL12" s="153"/>
      <c r="DM12" s="153"/>
      <c r="DN12" s="153"/>
      <c r="DO12" s="153"/>
      <c r="DP12" s="153"/>
      <c r="DQ12" s="153"/>
      <c r="DR12" s="152"/>
      <c r="DS12" s="271"/>
      <c r="DT12" s="271"/>
      <c r="DU12" s="271"/>
      <c r="DV12" s="271"/>
      <c r="DW12" s="158"/>
      <c r="DX12" s="271"/>
      <c r="DY12" s="271"/>
      <c r="DZ12" s="271"/>
      <c r="EA12" s="271"/>
      <c r="EB12" s="173"/>
      <c r="EC12" s="77"/>
      <c r="ED12" s="77"/>
    </row>
    <row r="13" spans="41:163" ht="15" customHeight="1" x14ac:dyDescent="0.3">
      <c r="AO13" s="77"/>
      <c r="AP13" s="77"/>
      <c r="AQ13" s="77"/>
      <c r="AR13" s="77"/>
      <c r="AS13" s="77"/>
      <c r="AT13" s="77"/>
      <c r="AU13" s="77"/>
      <c r="AV13" s="77"/>
      <c r="AW13" s="77"/>
      <c r="AX13" s="77"/>
      <c r="AY13" s="77"/>
      <c r="AZ13" s="77"/>
      <c r="BA13" s="77"/>
      <c r="BB13" s="77"/>
      <c r="BC13" s="101"/>
      <c r="BD13" s="101"/>
      <c r="BE13" s="101"/>
      <c r="BF13" s="101"/>
      <c r="BG13" s="101"/>
      <c r="BH13" s="101"/>
      <c r="BI13" s="101"/>
      <c r="BJ13" s="101"/>
      <c r="BK13" s="101"/>
      <c r="BL13" s="101"/>
      <c r="BM13" s="101"/>
      <c r="BN13" s="77"/>
      <c r="BO13" s="77"/>
      <c r="BP13" s="77"/>
      <c r="BQ13" s="77"/>
      <c r="BR13" s="77"/>
      <c r="BS13" s="77"/>
      <c r="BT13" s="77"/>
      <c r="BU13" s="77"/>
      <c r="BV13" s="77"/>
      <c r="BW13" s="77"/>
      <c r="BX13" s="77"/>
      <c r="BY13" s="77"/>
      <c r="BZ13" s="77"/>
      <c r="CA13" s="77"/>
      <c r="CB13" s="77"/>
      <c r="CC13" s="77"/>
      <c r="CD13" s="77"/>
      <c r="CE13" s="77"/>
      <c r="CF13" s="77"/>
      <c r="CG13" s="77"/>
      <c r="CH13" s="77"/>
      <c r="CI13" s="77"/>
      <c r="CJ13" s="77"/>
      <c r="CK13" s="77"/>
      <c r="CL13" s="77"/>
      <c r="CM13" s="77"/>
      <c r="CN13" s="77"/>
      <c r="CO13" s="77"/>
      <c r="CP13" s="77"/>
      <c r="CQ13" s="77"/>
      <c r="CR13" s="77"/>
      <c r="CS13" s="77"/>
      <c r="CT13" s="77"/>
      <c r="CU13" s="77"/>
      <c r="CV13" s="77"/>
      <c r="CW13" s="175"/>
      <c r="CX13" s="176"/>
      <c r="CY13" s="176"/>
      <c r="CZ13" s="176"/>
      <c r="DA13" s="176"/>
      <c r="DB13" s="176"/>
      <c r="DC13" s="176"/>
      <c r="DD13" s="176"/>
      <c r="DE13" s="176"/>
      <c r="DF13" s="176"/>
      <c r="DG13" s="176"/>
      <c r="DH13" s="176"/>
      <c r="DI13" s="176"/>
      <c r="DJ13" s="176"/>
      <c r="DK13" s="176"/>
      <c r="DL13" s="176"/>
      <c r="DM13" s="176"/>
      <c r="DN13" s="176"/>
      <c r="DO13" s="176"/>
      <c r="DP13" s="176"/>
      <c r="DQ13" s="176"/>
      <c r="DR13" s="176"/>
      <c r="DS13" s="176"/>
      <c r="DT13" s="176"/>
      <c r="DU13" s="176"/>
      <c r="DV13" s="176"/>
      <c r="DW13" s="176"/>
      <c r="DX13" s="176"/>
      <c r="DY13" s="176"/>
      <c r="DZ13" s="177"/>
      <c r="EA13" s="177"/>
      <c r="EB13" s="178"/>
      <c r="EC13" s="77"/>
      <c r="ED13" s="77"/>
    </row>
    <row r="14" spans="41:163" ht="15" customHeight="1" x14ac:dyDescent="0.3">
      <c r="AO14" s="77"/>
      <c r="AP14" s="77"/>
      <c r="AQ14" s="77"/>
      <c r="AR14" s="77"/>
      <c r="AS14" s="77"/>
      <c r="AT14" s="77"/>
      <c r="AU14" s="77"/>
      <c r="AV14" s="77"/>
      <c r="AW14" s="77"/>
      <c r="AX14" s="77"/>
      <c r="AY14" s="77"/>
      <c r="AZ14" s="77"/>
      <c r="BA14" s="77"/>
      <c r="BB14" s="77"/>
      <c r="BC14" s="77"/>
      <c r="BD14" s="77"/>
      <c r="BE14" s="77"/>
      <c r="BF14" s="77"/>
      <c r="BG14" s="77"/>
      <c r="BH14" s="77"/>
      <c r="BI14" s="77"/>
      <c r="BJ14" s="77"/>
      <c r="BK14" s="77"/>
      <c r="BL14" s="77"/>
      <c r="BM14" s="77"/>
      <c r="BN14" s="77"/>
      <c r="BO14" s="77"/>
      <c r="BP14" s="77"/>
      <c r="BQ14" s="77"/>
      <c r="BR14" s="77"/>
      <c r="BS14" s="77"/>
      <c r="BT14" s="77"/>
      <c r="BU14" s="77"/>
      <c r="BV14" s="77"/>
      <c r="BW14" s="77"/>
      <c r="BX14" s="77"/>
      <c r="BY14" s="77"/>
      <c r="BZ14" s="77"/>
      <c r="CA14" s="77"/>
      <c r="CB14" s="77"/>
      <c r="CC14" s="77"/>
      <c r="CD14" s="77"/>
      <c r="CE14" s="77"/>
      <c r="CF14" s="77"/>
      <c r="CG14" s="77"/>
      <c r="CH14" s="77"/>
      <c r="CI14" s="77"/>
      <c r="CJ14" s="77"/>
      <c r="CK14" s="77"/>
      <c r="CL14" s="77"/>
      <c r="CM14" s="77"/>
      <c r="CN14" s="77"/>
      <c r="CO14" s="77"/>
      <c r="CP14" s="77"/>
      <c r="CQ14" s="77"/>
      <c r="CR14" s="77"/>
      <c r="CS14" s="77"/>
      <c r="CT14" s="77"/>
      <c r="CU14" s="77"/>
      <c r="CV14" s="77"/>
      <c r="CW14" s="77"/>
      <c r="CX14" s="77"/>
      <c r="CY14" s="77"/>
      <c r="CZ14" s="77"/>
      <c r="DA14" s="77"/>
      <c r="DB14" s="77"/>
      <c r="DC14" s="77"/>
      <c r="DD14" s="77"/>
      <c r="DE14" s="77"/>
      <c r="DF14" s="77"/>
      <c r="DG14" s="77"/>
      <c r="DH14" s="77"/>
      <c r="DI14" s="77"/>
      <c r="DJ14" s="77"/>
      <c r="DK14" s="77"/>
      <c r="DL14" s="77"/>
      <c r="DM14" s="77"/>
      <c r="DN14" s="77"/>
      <c r="DO14" s="77"/>
      <c r="DP14" s="77"/>
      <c r="DQ14" s="77"/>
      <c r="DR14" s="77"/>
      <c r="DS14" s="77"/>
      <c r="DT14" s="77"/>
      <c r="DU14" s="77"/>
      <c r="DV14" s="77"/>
      <c r="DW14" s="77"/>
      <c r="DX14" s="77"/>
      <c r="DY14" s="77"/>
      <c r="DZ14" s="77"/>
      <c r="EA14" s="77"/>
      <c r="EB14" s="77"/>
      <c r="EC14" s="77"/>
      <c r="ED14" s="77"/>
    </row>
    <row r="15" spans="41:163" ht="10.199999999999999" customHeight="1" x14ac:dyDescent="0.3"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5"/>
      <c r="BY15" s="85"/>
      <c r="BZ15" s="85"/>
      <c r="CA15" s="85"/>
      <c r="CB15" s="85"/>
      <c r="CC15" s="85"/>
      <c r="CD15" s="85"/>
      <c r="CE15" s="85"/>
      <c r="CF15" s="85"/>
      <c r="CG15" s="85"/>
      <c r="CH15" s="85"/>
      <c r="CI15" s="85"/>
      <c r="CJ15" s="85"/>
      <c r="CK15" s="85"/>
      <c r="CL15" s="85"/>
      <c r="CM15" s="85"/>
      <c r="CN15" s="85"/>
      <c r="CO15" s="85"/>
      <c r="CP15" s="85"/>
      <c r="CQ15" s="85"/>
      <c r="CR15" s="85"/>
      <c r="CS15" s="85"/>
      <c r="CT15" s="85"/>
      <c r="CU15" s="85"/>
      <c r="CV15" s="85"/>
      <c r="CW15" s="85"/>
      <c r="CX15" s="85"/>
      <c r="CY15" s="85"/>
      <c r="CZ15" s="85"/>
      <c r="DA15" s="85"/>
      <c r="DB15" s="85"/>
      <c r="DC15" s="85"/>
      <c r="DD15" s="85"/>
      <c r="DE15" s="85"/>
      <c r="DF15" s="85"/>
      <c r="DG15" s="85"/>
      <c r="DH15" s="85"/>
      <c r="DI15" s="85"/>
      <c r="DJ15" s="85"/>
      <c r="DK15" s="85"/>
      <c r="DL15" s="85"/>
      <c r="DM15" s="85"/>
      <c r="DN15" s="85"/>
      <c r="DO15" s="85"/>
      <c r="DP15" s="85"/>
      <c r="DQ15" s="85"/>
      <c r="DR15" s="85"/>
      <c r="DS15" s="85"/>
      <c r="DT15" s="85"/>
      <c r="DU15" s="85"/>
      <c r="DV15" s="85"/>
      <c r="DW15" s="85"/>
      <c r="DX15" s="85"/>
      <c r="DY15" s="85"/>
      <c r="DZ15" s="85"/>
      <c r="EA15" s="85"/>
      <c r="EB15" s="85"/>
      <c r="EC15" s="85"/>
      <c r="ED15" s="85"/>
    </row>
    <row r="16" spans="41:163" ht="15" customHeight="1" x14ac:dyDescent="0.35">
      <c r="AO16" s="85"/>
      <c r="AP16" s="85"/>
      <c r="AQ16" s="85"/>
      <c r="AR16" s="85"/>
      <c r="AS16" s="85"/>
      <c r="AT16" s="228" t="s">
        <v>6</v>
      </c>
      <c r="AU16" s="228"/>
      <c r="AV16" s="228"/>
      <c r="AW16" s="228"/>
      <c r="AX16" s="228"/>
      <c r="AY16" s="228"/>
      <c r="AZ16" s="228"/>
      <c r="BA16" s="228"/>
      <c r="BB16" s="228"/>
      <c r="BC16" s="228"/>
      <c r="BD16" s="228"/>
      <c r="BE16" s="98"/>
      <c r="BF16" s="228"/>
      <c r="BG16" s="228"/>
      <c r="BH16" s="228"/>
      <c r="BI16" s="228"/>
      <c r="BJ16" s="228"/>
      <c r="BK16" s="228"/>
      <c r="BL16" s="228"/>
      <c r="BM16" s="228"/>
      <c r="BN16" s="228"/>
      <c r="BO16" s="228"/>
      <c r="BP16" s="228"/>
      <c r="BQ16" s="228"/>
      <c r="BR16" s="97"/>
      <c r="BS16" s="97"/>
      <c r="BT16" s="98"/>
      <c r="BU16" s="98"/>
      <c r="BV16" s="98"/>
      <c r="BW16" s="98"/>
      <c r="BX16" s="98"/>
      <c r="BY16" s="98"/>
      <c r="BZ16" s="98"/>
      <c r="CA16" s="98"/>
      <c r="CB16" s="98"/>
      <c r="CC16" s="98"/>
      <c r="CD16" s="98"/>
      <c r="CE16" s="98"/>
      <c r="CF16" s="98"/>
      <c r="CG16" s="98"/>
      <c r="CH16" s="98"/>
      <c r="CI16" s="98"/>
      <c r="CJ16" s="98"/>
      <c r="CK16" s="228" t="s">
        <v>7</v>
      </c>
      <c r="CL16" s="228"/>
      <c r="CM16" s="228"/>
      <c r="CN16" s="228"/>
      <c r="CO16" s="228"/>
      <c r="CP16" s="228"/>
      <c r="CQ16" s="228"/>
      <c r="CR16" s="228"/>
      <c r="CS16" s="228"/>
      <c r="CT16" s="228"/>
      <c r="CU16" s="228"/>
      <c r="CV16" s="228"/>
      <c r="CW16" s="228"/>
      <c r="CX16" s="228"/>
      <c r="CY16" s="228"/>
      <c r="CZ16" s="228"/>
      <c r="DA16" s="228"/>
      <c r="DB16" s="228"/>
      <c r="DC16" s="228"/>
      <c r="DD16" s="98"/>
      <c r="DE16" s="98"/>
      <c r="DF16" s="98"/>
      <c r="DG16" s="98"/>
      <c r="DH16" s="98"/>
      <c r="DI16" s="98"/>
      <c r="DJ16" s="98"/>
      <c r="DK16" s="98"/>
      <c r="DL16" s="98"/>
      <c r="DM16" s="98"/>
      <c r="DN16" s="98"/>
      <c r="DO16" s="98"/>
      <c r="DP16" s="85"/>
      <c r="DQ16" s="85"/>
      <c r="DR16" s="85"/>
      <c r="DS16" s="85"/>
      <c r="DT16" s="85"/>
      <c r="DU16" s="85"/>
      <c r="DV16" s="85"/>
      <c r="DW16" s="85"/>
      <c r="DX16" s="85"/>
      <c r="DY16" s="85"/>
      <c r="DZ16" s="85"/>
      <c r="EA16" s="85"/>
      <c r="EB16" s="85"/>
      <c r="EC16" s="85"/>
      <c r="ED16" s="85"/>
    </row>
    <row r="17" spans="41:134" ht="15" customHeight="1" x14ac:dyDescent="0.35">
      <c r="AO17" s="85"/>
      <c r="AP17" s="85"/>
      <c r="AQ17" s="85"/>
      <c r="AR17" s="85"/>
      <c r="AS17" s="85"/>
      <c r="AT17" s="199"/>
      <c r="AU17" s="199"/>
      <c r="AV17" s="199"/>
      <c r="AW17" s="199"/>
      <c r="AX17" s="199"/>
      <c r="AY17" s="199"/>
      <c r="AZ17" s="199"/>
      <c r="BA17" s="199"/>
      <c r="BB17" s="199"/>
      <c r="BC17" s="199"/>
      <c r="BD17" s="199"/>
      <c r="BE17" s="199"/>
      <c r="BF17" s="199"/>
      <c r="BG17" s="199"/>
      <c r="BH17" s="199"/>
      <c r="BI17" s="199"/>
      <c r="BJ17" s="199"/>
      <c r="BK17" s="199"/>
      <c r="BL17" s="199"/>
      <c r="BM17" s="199"/>
      <c r="BN17" s="199"/>
      <c r="BO17" s="199"/>
      <c r="BP17" s="199"/>
      <c r="BQ17" s="199"/>
      <c r="BR17" s="199"/>
      <c r="BS17" s="199"/>
      <c r="BT17" s="199"/>
      <c r="BU17" s="199"/>
      <c r="BV17" s="199"/>
      <c r="BW17" s="199"/>
      <c r="BX17" s="199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199"/>
      <c r="CL17" s="199"/>
      <c r="CM17" s="199"/>
      <c r="CN17" s="199"/>
      <c r="CO17" s="199"/>
      <c r="CP17" s="199"/>
      <c r="CQ17" s="199"/>
      <c r="CR17" s="199"/>
      <c r="CS17" s="199"/>
      <c r="CT17" s="199"/>
      <c r="CU17" s="199"/>
      <c r="CV17" s="199"/>
      <c r="CW17" s="199"/>
      <c r="CX17" s="199"/>
      <c r="CY17" s="199"/>
      <c r="CZ17" s="199"/>
      <c r="DA17" s="199"/>
      <c r="DB17" s="199"/>
      <c r="DC17" s="199"/>
      <c r="DD17" s="199"/>
      <c r="DE17" s="199"/>
      <c r="DF17" s="199"/>
      <c r="DG17" s="199"/>
      <c r="DH17" s="199"/>
      <c r="DI17" s="199"/>
      <c r="DJ17" s="199"/>
      <c r="DK17" s="199"/>
      <c r="DL17" s="199"/>
      <c r="DM17" s="199"/>
      <c r="DN17" s="199"/>
      <c r="DO17" s="199"/>
      <c r="DP17" s="85"/>
      <c r="DQ17" s="85"/>
      <c r="DR17" s="85"/>
      <c r="DS17" s="85"/>
      <c r="DT17" s="85"/>
      <c r="DU17" s="85"/>
      <c r="DV17" s="85"/>
      <c r="DW17" s="85"/>
      <c r="DX17" s="85"/>
      <c r="DY17" s="85"/>
      <c r="DZ17" s="85"/>
      <c r="EA17" s="85"/>
      <c r="EB17" s="85"/>
      <c r="EC17" s="85"/>
      <c r="ED17" s="85"/>
    </row>
    <row r="18" spans="41:134" ht="15" customHeight="1" x14ac:dyDescent="0.35">
      <c r="AO18" s="85"/>
      <c r="AP18" s="85"/>
      <c r="AQ18" s="85"/>
      <c r="AR18" s="85"/>
      <c r="AS18" s="85"/>
      <c r="AT18" s="200"/>
      <c r="AU18" s="200"/>
      <c r="AV18" s="200"/>
      <c r="AW18" s="200"/>
      <c r="AX18" s="200"/>
      <c r="AY18" s="200"/>
      <c r="AZ18" s="200"/>
      <c r="BA18" s="200"/>
      <c r="BB18" s="200"/>
      <c r="BC18" s="200"/>
      <c r="BD18" s="200"/>
      <c r="BE18" s="200"/>
      <c r="BF18" s="200"/>
      <c r="BG18" s="200"/>
      <c r="BH18" s="200"/>
      <c r="BI18" s="200"/>
      <c r="BJ18" s="200"/>
      <c r="BK18" s="200"/>
      <c r="BL18" s="200"/>
      <c r="BM18" s="200"/>
      <c r="BN18" s="200"/>
      <c r="BO18" s="200"/>
      <c r="BP18" s="200"/>
      <c r="BQ18" s="200"/>
      <c r="BR18" s="200"/>
      <c r="BS18" s="200"/>
      <c r="BT18" s="200"/>
      <c r="BU18" s="200"/>
      <c r="BV18" s="200"/>
      <c r="BW18" s="200"/>
      <c r="BX18" s="200"/>
      <c r="BY18" s="98"/>
      <c r="BZ18" s="98"/>
      <c r="CA18" s="98"/>
      <c r="CB18" s="98"/>
      <c r="CC18" s="98"/>
      <c r="CD18" s="98"/>
      <c r="CE18" s="98"/>
      <c r="CF18" s="98"/>
      <c r="CG18" s="98"/>
      <c r="CH18" s="98"/>
      <c r="CI18" s="98"/>
      <c r="CJ18" s="98"/>
      <c r="CK18" s="200"/>
      <c r="CL18" s="200"/>
      <c r="CM18" s="200"/>
      <c r="CN18" s="200"/>
      <c r="CO18" s="200"/>
      <c r="CP18" s="200"/>
      <c r="CQ18" s="200"/>
      <c r="CR18" s="200"/>
      <c r="CS18" s="200"/>
      <c r="CT18" s="200"/>
      <c r="CU18" s="200"/>
      <c r="CV18" s="200"/>
      <c r="CW18" s="200"/>
      <c r="CX18" s="200"/>
      <c r="CY18" s="200"/>
      <c r="CZ18" s="200"/>
      <c r="DA18" s="200"/>
      <c r="DB18" s="200"/>
      <c r="DC18" s="200"/>
      <c r="DD18" s="200"/>
      <c r="DE18" s="200"/>
      <c r="DF18" s="200"/>
      <c r="DG18" s="200"/>
      <c r="DH18" s="200"/>
      <c r="DI18" s="200"/>
      <c r="DJ18" s="200"/>
      <c r="DK18" s="200"/>
      <c r="DL18" s="200"/>
      <c r="DM18" s="200"/>
      <c r="DN18" s="200"/>
      <c r="DO18" s="200"/>
      <c r="DP18" s="85"/>
      <c r="DQ18" s="85"/>
      <c r="DR18" s="85"/>
      <c r="DS18" s="85"/>
      <c r="DT18" s="85"/>
      <c r="DU18" s="85"/>
      <c r="DV18" s="85"/>
      <c r="DW18" s="85"/>
      <c r="DX18" s="85"/>
      <c r="DY18" s="85"/>
      <c r="DZ18" s="85"/>
      <c r="EA18" s="85"/>
      <c r="EB18" s="85"/>
      <c r="EC18" s="85"/>
      <c r="ED18" s="85"/>
    </row>
    <row r="19" spans="41:134" ht="10.199999999999999" customHeight="1" x14ac:dyDescent="0.35">
      <c r="AO19" s="85"/>
      <c r="AP19" s="85"/>
      <c r="AQ19" s="85"/>
      <c r="AR19" s="85"/>
      <c r="AS19" s="85"/>
      <c r="AT19" s="98"/>
      <c r="AU19" s="98"/>
      <c r="AV19" s="98"/>
      <c r="AW19" s="98"/>
      <c r="AX19" s="98"/>
      <c r="AY19" s="98"/>
      <c r="AZ19" s="98"/>
      <c r="BA19" s="98"/>
      <c r="BB19" s="98"/>
      <c r="BC19" s="98"/>
      <c r="BD19" s="98"/>
      <c r="BE19" s="98"/>
      <c r="BF19" s="98"/>
      <c r="BG19" s="98"/>
      <c r="BH19" s="98"/>
      <c r="BI19" s="98"/>
      <c r="BJ19" s="98"/>
      <c r="BK19" s="98"/>
      <c r="BL19" s="98"/>
      <c r="BM19" s="98"/>
      <c r="BN19" s="98"/>
      <c r="BO19" s="98"/>
      <c r="BP19" s="98"/>
      <c r="BQ19" s="98"/>
      <c r="BR19" s="98"/>
      <c r="BS19" s="98"/>
      <c r="BT19" s="98"/>
      <c r="BU19" s="98"/>
      <c r="BV19" s="98"/>
      <c r="BW19" s="98"/>
      <c r="BX19" s="98"/>
      <c r="BY19" s="98"/>
      <c r="BZ19" s="98"/>
      <c r="CA19" s="98"/>
      <c r="CB19" s="98"/>
      <c r="CC19" s="98"/>
      <c r="CD19" s="98"/>
      <c r="CE19" s="98"/>
      <c r="CF19" s="98"/>
      <c r="CG19" s="98"/>
      <c r="CH19" s="98"/>
      <c r="CI19" s="98"/>
      <c r="CJ19" s="98"/>
      <c r="CK19" s="98"/>
      <c r="CL19" s="98"/>
      <c r="CM19" s="98"/>
      <c r="CN19" s="98"/>
      <c r="CO19" s="98"/>
      <c r="CP19" s="98"/>
      <c r="CQ19" s="98"/>
      <c r="CR19" s="98"/>
      <c r="CS19" s="98"/>
      <c r="CT19" s="98"/>
      <c r="CU19" s="98"/>
      <c r="CV19" s="98"/>
      <c r="CW19" s="98"/>
      <c r="CX19" s="98"/>
      <c r="CY19" s="98"/>
      <c r="CZ19" s="98"/>
      <c r="DA19" s="98"/>
      <c r="DB19" s="98"/>
      <c r="DC19" s="98"/>
      <c r="DD19" s="98"/>
      <c r="DE19" s="98"/>
      <c r="DF19" s="98"/>
      <c r="DG19" s="98"/>
      <c r="DH19" s="98"/>
      <c r="DI19" s="98"/>
      <c r="DJ19" s="98"/>
      <c r="DK19" s="98"/>
      <c r="DL19" s="98"/>
      <c r="DM19" s="98"/>
      <c r="DN19" s="98"/>
      <c r="DO19" s="98"/>
      <c r="DP19" s="85"/>
      <c r="DQ19" s="85"/>
      <c r="DR19" s="85"/>
      <c r="DS19" s="85"/>
      <c r="DT19" s="85"/>
      <c r="DU19" s="85"/>
      <c r="DV19" s="85"/>
      <c r="DW19" s="85"/>
      <c r="DX19" s="85"/>
      <c r="DY19" s="85"/>
      <c r="DZ19" s="85"/>
      <c r="EA19" s="85"/>
      <c r="EB19" s="85"/>
      <c r="EC19" s="85"/>
      <c r="ED19" s="85"/>
    </row>
    <row r="20" spans="41:134" ht="15" customHeight="1" x14ac:dyDescent="0.35">
      <c r="AO20" s="85"/>
      <c r="AP20" s="85"/>
      <c r="AQ20" s="85"/>
      <c r="AR20" s="85"/>
      <c r="AS20" s="85"/>
      <c r="AT20" s="228" t="s">
        <v>8</v>
      </c>
      <c r="AU20" s="228"/>
      <c r="AV20" s="228"/>
      <c r="AW20" s="228"/>
      <c r="AX20" s="228"/>
      <c r="AY20" s="228"/>
      <c r="AZ20" s="228"/>
      <c r="BA20" s="228"/>
      <c r="BB20" s="228"/>
      <c r="BC20" s="228"/>
      <c r="BD20" s="228"/>
      <c r="BE20" s="228"/>
      <c r="BF20" s="228"/>
      <c r="BG20" s="98"/>
      <c r="BH20" s="98"/>
      <c r="BI20" s="98"/>
      <c r="BJ20" s="98"/>
      <c r="BK20" s="98"/>
      <c r="BL20" s="98"/>
      <c r="BM20" s="98"/>
      <c r="BN20" s="98"/>
      <c r="BO20" s="98"/>
      <c r="BP20" s="98"/>
      <c r="BQ20" s="98"/>
      <c r="BR20" s="97"/>
      <c r="BS20" s="97"/>
      <c r="BT20" s="98"/>
      <c r="BU20" s="98"/>
      <c r="BV20" s="98"/>
      <c r="BW20" s="98"/>
      <c r="BX20" s="98"/>
      <c r="BY20" s="98"/>
      <c r="BZ20" s="98"/>
      <c r="CA20" s="98"/>
      <c r="CB20" s="98"/>
      <c r="CC20" s="98"/>
      <c r="CD20" s="98"/>
      <c r="CE20" s="98"/>
      <c r="CF20" s="98"/>
      <c r="CG20" s="98"/>
      <c r="CH20" s="98"/>
      <c r="CI20" s="98"/>
      <c r="CJ20" s="98"/>
      <c r="CK20" s="228" t="s">
        <v>8</v>
      </c>
      <c r="CL20" s="228"/>
      <c r="CM20" s="228"/>
      <c r="CN20" s="228"/>
      <c r="CO20" s="228"/>
      <c r="CP20" s="228"/>
      <c r="CQ20" s="228"/>
      <c r="CR20" s="228"/>
      <c r="CS20" s="228"/>
      <c r="CT20" s="228"/>
      <c r="CU20" s="228"/>
      <c r="CV20" s="228"/>
      <c r="CW20" s="228"/>
      <c r="CX20" s="98"/>
      <c r="CY20" s="98"/>
      <c r="CZ20" s="98"/>
      <c r="DA20" s="98"/>
      <c r="DB20" s="98"/>
      <c r="DC20" s="98"/>
      <c r="DD20" s="98"/>
      <c r="DE20" s="98"/>
      <c r="DF20" s="98"/>
      <c r="DG20" s="98"/>
      <c r="DH20" s="98"/>
      <c r="DI20" s="98"/>
      <c r="DJ20" s="98"/>
      <c r="DK20" s="98"/>
      <c r="DL20" s="98"/>
      <c r="DM20" s="98"/>
      <c r="DN20" s="98"/>
      <c r="DO20" s="98"/>
      <c r="DP20" s="85"/>
      <c r="DQ20" s="85"/>
      <c r="DR20" s="85"/>
      <c r="DS20" s="85"/>
      <c r="DT20" s="85"/>
      <c r="DU20" s="85"/>
      <c r="DV20" s="85"/>
      <c r="DW20" s="85"/>
      <c r="DX20" s="85"/>
      <c r="DY20" s="85"/>
      <c r="DZ20" s="85"/>
      <c r="EA20" s="85"/>
      <c r="EB20" s="85"/>
      <c r="EC20" s="85"/>
      <c r="ED20" s="85"/>
    </row>
    <row r="21" spans="41:134" ht="15" customHeight="1" x14ac:dyDescent="0.35">
      <c r="AO21" s="85"/>
      <c r="AP21" s="85"/>
      <c r="AQ21" s="85"/>
      <c r="AR21" s="85"/>
      <c r="AS21" s="85"/>
      <c r="AT21" s="199"/>
      <c r="AU21" s="199"/>
      <c r="AV21" s="199"/>
      <c r="AW21" s="199"/>
      <c r="AX21" s="199"/>
      <c r="AY21" s="199"/>
      <c r="AZ21" s="199"/>
      <c r="BA21" s="199"/>
      <c r="BB21" s="199"/>
      <c r="BC21" s="199"/>
      <c r="BD21" s="199"/>
      <c r="BE21" s="199"/>
      <c r="BF21" s="199"/>
      <c r="BG21" s="199"/>
      <c r="BH21" s="199"/>
      <c r="BI21" s="199"/>
      <c r="BJ21" s="199"/>
      <c r="BK21" s="199"/>
      <c r="BL21" s="199"/>
      <c r="BM21" s="199"/>
      <c r="BN21" s="199"/>
      <c r="BO21" s="199"/>
      <c r="BP21" s="199"/>
      <c r="BQ21" s="199"/>
      <c r="BR21" s="199"/>
      <c r="BS21" s="199"/>
      <c r="BT21" s="199"/>
      <c r="BU21" s="199"/>
      <c r="BV21" s="199"/>
      <c r="BW21" s="199"/>
      <c r="BX21" s="199"/>
      <c r="BY21" s="98"/>
      <c r="BZ21" s="98"/>
      <c r="CA21" s="98"/>
      <c r="CB21" s="98"/>
      <c r="CC21" s="98"/>
      <c r="CD21" s="98"/>
      <c r="CE21" s="98"/>
      <c r="CF21" s="98"/>
      <c r="CG21" s="98"/>
      <c r="CH21" s="98"/>
      <c r="CI21" s="98"/>
      <c r="CJ21" s="98"/>
      <c r="CK21" s="199"/>
      <c r="CL21" s="199"/>
      <c r="CM21" s="199"/>
      <c r="CN21" s="199"/>
      <c r="CO21" s="199"/>
      <c r="CP21" s="199"/>
      <c r="CQ21" s="199"/>
      <c r="CR21" s="199"/>
      <c r="CS21" s="199"/>
      <c r="CT21" s="199"/>
      <c r="CU21" s="199"/>
      <c r="CV21" s="199"/>
      <c r="CW21" s="199"/>
      <c r="CX21" s="199"/>
      <c r="CY21" s="199"/>
      <c r="CZ21" s="199"/>
      <c r="DA21" s="199"/>
      <c r="DB21" s="199"/>
      <c r="DC21" s="199"/>
      <c r="DD21" s="199"/>
      <c r="DE21" s="199"/>
      <c r="DF21" s="199"/>
      <c r="DG21" s="199"/>
      <c r="DH21" s="199"/>
      <c r="DI21" s="199"/>
      <c r="DJ21" s="199"/>
      <c r="DK21" s="199"/>
      <c r="DL21" s="199"/>
      <c r="DM21" s="199"/>
      <c r="DN21" s="199"/>
      <c r="DO21" s="199"/>
      <c r="DP21" s="85"/>
      <c r="DQ21" s="85"/>
      <c r="DR21" s="85"/>
      <c r="DS21" s="85"/>
      <c r="DT21" s="85"/>
      <c r="DU21" s="85"/>
      <c r="DV21" s="85"/>
      <c r="DW21" s="85"/>
      <c r="DX21" s="85"/>
      <c r="DY21" s="85"/>
      <c r="DZ21" s="85"/>
      <c r="EA21" s="85"/>
      <c r="EB21" s="85"/>
      <c r="EC21" s="85"/>
      <c r="ED21" s="85"/>
    </row>
    <row r="22" spans="41:134" ht="15" customHeight="1" x14ac:dyDescent="0.35">
      <c r="AO22" s="85"/>
      <c r="AP22" s="85"/>
      <c r="AQ22" s="85"/>
      <c r="AR22" s="85"/>
      <c r="AS22" s="85"/>
      <c r="AT22" s="200"/>
      <c r="AU22" s="200"/>
      <c r="AV22" s="200"/>
      <c r="AW22" s="200"/>
      <c r="AX22" s="200"/>
      <c r="AY22" s="200"/>
      <c r="AZ22" s="200"/>
      <c r="BA22" s="200"/>
      <c r="BB22" s="200"/>
      <c r="BC22" s="200"/>
      <c r="BD22" s="200"/>
      <c r="BE22" s="200"/>
      <c r="BF22" s="200"/>
      <c r="BG22" s="200"/>
      <c r="BH22" s="200"/>
      <c r="BI22" s="200"/>
      <c r="BJ22" s="200"/>
      <c r="BK22" s="200"/>
      <c r="BL22" s="200"/>
      <c r="BM22" s="200"/>
      <c r="BN22" s="200"/>
      <c r="BO22" s="200"/>
      <c r="BP22" s="200"/>
      <c r="BQ22" s="200"/>
      <c r="BR22" s="200"/>
      <c r="BS22" s="200"/>
      <c r="BT22" s="200"/>
      <c r="BU22" s="200"/>
      <c r="BV22" s="200"/>
      <c r="BW22" s="200"/>
      <c r="BX22" s="200"/>
      <c r="BY22" s="98"/>
      <c r="BZ22" s="98"/>
      <c r="CA22" s="98"/>
      <c r="CB22" s="98"/>
      <c r="CC22" s="98"/>
      <c r="CD22" s="98"/>
      <c r="CE22" s="98"/>
      <c r="CF22" s="98"/>
      <c r="CG22" s="98"/>
      <c r="CH22" s="98"/>
      <c r="CI22" s="98"/>
      <c r="CJ22" s="98"/>
      <c r="CK22" s="200"/>
      <c r="CL22" s="200"/>
      <c r="CM22" s="200"/>
      <c r="CN22" s="200"/>
      <c r="CO22" s="200"/>
      <c r="CP22" s="200"/>
      <c r="CQ22" s="200"/>
      <c r="CR22" s="200"/>
      <c r="CS22" s="200"/>
      <c r="CT22" s="200"/>
      <c r="CU22" s="200"/>
      <c r="CV22" s="200"/>
      <c r="CW22" s="200"/>
      <c r="CX22" s="200"/>
      <c r="CY22" s="200"/>
      <c r="CZ22" s="200"/>
      <c r="DA22" s="200"/>
      <c r="DB22" s="200"/>
      <c r="DC22" s="200"/>
      <c r="DD22" s="200"/>
      <c r="DE22" s="200"/>
      <c r="DF22" s="200"/>
      <c r="DG22" s="200"/>
      <c r="DH22" s="200"/>
      <c r="DI22" s="200"/>
      <c r="DJ22" s="200"/>
      <c r="DK22" s="200"/>
      <c r="DL22" s="200"/>
      <c r="DM22" s="200"/>
      <c r="DN22" s="200"/>
      <c r="DO22" s="200"/>
      <c r="DP22" s="85"/>
      <c r="DQ22" s="85"/>
      <c r="DR22" s="85"/>
      <c r="DS22" s="85"/>
      <c r="DT22" s="85"/>
      <c r="DU22" s="85"/>
      <c r="DV22" s="85"/>
      <c r="DW22" s="85"/>
      <c r="DX22" s="85"/>
      <c r="DY22" s="85"/>
      <c r="DZ22" s="85"/>
      <c r="EA22" s="85"/>
      <c r="EB22" s="85"/>
      <c r="EC22" s="85"/>
      <c r="ED22" s="85"/>
    </row>
    <row r="23" spans="41:134" ht="10.199999999999999" customHeight="1" x14ac:dyDescent="0.35">
      <c r="AO23" s="85"/>
      <c r="AP23" s="85"/>
      <c r="AQ23" s="85"/>
      <c r="AR23" s="85"/>
      <c r="AS23" s="85"/>
      <c r="AT23" s="98"/>
      <c r="AU23" s="98"/>
      <c r="AV23" s="98"/>
      <c r="AW23" s="98"/>
      <c r="AX23" s="98"/>
      <c r="AY23" s="98"/>
      <c r="AZ23" s="98"/>
      <c r="BA23" s="98"/>
      <c r="BB23" s="98"/>
      <c r="BC23" s="98"/>
      <c r="BD23" s="98"/>
      <c r="BE23" s="98"/>
      <c r="BF23" s="98"/>
      <c r="BG23" s="98"/>
      <c r="BH23" s="98"/>
      <c r="BI23" s="98"/>
      <c r="BJ23" s="98"/>
      <c r="BK23" s="98"/>
      <c r="BL23" s="98"/>
      <c r="BM23" s="98"/>
      <c r="BN23" s="98"/>
      <c r="BO23" s="98"/>
      <c r="BP23" s="98"/>
      <c r="BQ23" s="98"/>
      <c r="BR23" s="98"/>
      <c r="BS23" s="98"/>
      <c r="BT23" s="98"/>
      <c r="BU23" s="98"/>
      <c r="BV23" s="98"/>
      <c r="BW23" s="98"/>
      <c r="BX23" s="98"/>
      <c r="BY23" s="98"/>
      <c r="BZ23" s="98"/>
      <c r="CA23" s="98"/>
      <c r="CB23" s="98"/>
      <c r="CC23" s="98"/>
      <c r="CD23" s="98"/>
      <c r="CE23" s="98"/>
      <c r="CF23" s="98"/>
      <c r="CG23" s="98"/>
      <c r="CH23" s="98"/>
      <c r="CI23" s="98"/>
      <c r="CJ23" s="98"/>
      <c r="CK23" s="98"/>
      <c r="CL23" s="98"/>
      <c r="CM23" s="98"/>
      <c r="CN23" s="98"/>
      <c r="CO23" s="98"/>
      <c r="CP23" s="98"/>
      <c r="CQ23" s="98"/>
      <c r="CR23" s="98"/>
      <c r="CS23" s="98"/>
      <c r="CT23" s="98"/>
      <c r="CU23" s="98"/>
      <c r="CV23" s="98"/>
      <c r="CW23" s="98"/>
      <c r="CX23" s="98"/>
      <c r="CY23" s="98"/>
      <c r="CZ23" s="98"/>
      <c r="DA23" s="98"/>
      <c r="DB23" s="98"/>
      <c r="DC23" s="98"/>
      <c r="DD23" s="98"/>
      <c r="DE23" s="98"/>
      <c r="DF23" s="98"/>
      <c r="DG23" s="98"/>
      <c r="DH23" s="98"/>
      <c r="DI23" s="98"/>
      <c r="DJ23" s="98"/>
      <c r="DK23" s="98"/>
      <c r="DL23" s="98"/>
      <c r="DM23" s="98"/>
      <c r="DN23" s="98"/>
      <c r="DO23" s="98"/>
      <c r="DP23" s="85"/>
      <c r="DQ23" s="85"/>
      <c r="DR23" s="85"/>
      <c r="DS23" s="85"/>
      <c r="DT23" s="85"/>
      <c r="DU23" s="85"/>
      <c r="DV23" s="85"/>
      <c r="DW23" s="85"/>
      <c r="DX23" s="85"/>
      <c r="DY23" s="85"/>
      <c r="DZ23" s="85"/>
      <c r="EA23" s="85"/>
      <c r="EB23" s="85"/>
      <c r="EC23" s="85"/>
      <c r="ED23" s="85"/>
    </row>
    <row r="24" spans="41:134" ht="15" customHeight="1" x14ac:dyDescent="0.35">
      <c r="AO24" s="85"/>
      <c r="AP24" s="85"/>
      <c r="AQ24" s="85"/>
      <c r="AR24" s="85"/>
      <c r="AS24" s="85"/>
      <c r="AT24" s="228" t="s">
        <v>9</v>
      </c>
      <c r="AU24" s="228"/>
      <c r="AV24" s="228"/>
      <c r="AW24" s="228"/>
      <c r="AX24" s="228"/>
      <c r="AY24" s="228"/>
      <c r="AZ24" s="228"/>
      <c r="BA24" s="97"/>
      <c r="BB24" s="231"/>
      <c r="BC24" s="231"/>
      <c r="BD24" s="231"/>
      <c r="BE24" s="99"/>
      <c r="BF24" s="98"/>
      <c r="BG24" s="98"/>
      <c r="BH24" s="98"/>
      <c r="BI24" s="98"/>
      <c r="BJ24" s="98"/>
      <c r="BK24" s="98"/>
      <c r="BL24" s="98"/>
      <c r="BM24" s="98"/>
      <c r="BN24" s="98"/>
      <c r="BO24" s="98"/>
      <c r="BP24" s="98"/>
      <c r="BQ24" s="98"/>
      <c r="BR24" s="97"/>
      <c r="BS24" s="97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228" t="s">
        <v>9</v>
      </c>
      <c r="CL24" s="228"/>
      <c r="CM24" s="228"/>
      <c r="CN24" s="228"/>
      <c r="CO24" s="228"/>
      <c r="CP24" s="228"/>
      <c r="CQ24" s="97"/>
      <c r="CR24" s="97"/>
      <c r="CS24" s="99"/>
      <c r="CT24" s="99"/>
      <c r="CU24" s="99"/>
      <c r="CV24" s="99"/>
      <c r="CW24" s="98"/>
      <c r="CX24" s="98"/>
      <c r="CY24" s="98"/>
      <c r="CZ24" s="98"/>
      <c r="DA24" s="98"/>
      <c r="DB24" s="98"/>
      <c r="DC24" s="98"/>
      <c r="DD24" s="98"/>
      <c r="DE24" s="98"/>
      <c r="DF24" s="98"/>
      <c r="DG24" s="98"/>
      <c r="DH24" s="98"/>
      <c r="DI24" s="98"/>
      <c r="DJ24" s="98"/>
      <c r="DK24" s="98"/>
      <c r="DL24" s="98"/>
      <c r="DM24" s="98"/>
      <c r="DN24" s="98"/>
      <c r="DO24" s="98"/>
      <c r="DP24" s="85"/>
      <c r="DQ24" s="85"/>
      <c r="DR24" s="85"/>
      <c r="DS24" s="85"/>
      <c r="DT24" s="85"/>
      <c r="DU24" s="85"/>
      <c r="DV24" s="85"/>
      <c r="DW24" s="85"/>
      <c r="DX24" s="85"/>
      <c r="DY24" s="85"/>
      <c r="DZ24" s="85"/>
      <c r="EA24" s="85"/>
      <c r="EB24" s="85"/>
      <c r="EC24" s="85"/>
      <c r="ED24" s="85"/>
    </row>
    <row r="25" spans="41:134" ht="15" customHeight="1" x14ac:dyDescent="0.3">
      <c r="AO25" s="85"/>
      <c r="AP25" s="85"/>
      <c r="AQ25" s="85"/>
      <c r="AR25" s="85"/>
      <c r="AS25" s="85"/>
      <c r="AT25" s="232"/>
      <c r="AU25" s="232"/>
      <c r="AV25" s="232"/>
      <c r="AW25" s="232"/>
      <c r="AX25" s="232"/>
      <c r="AY25" s="232"/>
      <c r="AZ25" s="232"/>
      <c r="BA25" s="232"/>
      <c r="BB25" s="232"/>
      <c r="BC25" s="232"/>
      <c r="BD25" s="232"/>
      <c r="BE25" s="232"/>
      <c r="BF25" s="232"/>
      <c r="BG25" s="232"/>
      <c r="BH25" s="232"/>
      <c r="BI25" s="232"/>
      <c r="BJ25" s="232"/>
      <c r="BK25" s="232"/>
      <c r="BL25" s="232"/>
      <c r="BM25" s="232"/>
      <c r="BN25" s="232"/>
      <c r="BO25" s="232"/>
      <c r="BP25" s="232"/>
      <c r="BQ25" s="232"/>
      <c r="BR25" s="232"/>
      <c r="BS25" s="232"/>
      <c r="BT25" s="232"/>
      <c r="BU25" s="232"/>
      <c r="BV25" s="232"/>
      <c r="BW25" s="232"/>
      <c r="BX25" s="232"/>
      <c r="BY25" s="85"/>
      <c r="BZ25" s="85"/>
      <c r="CA25" s="85"/>
      <c r="CB25" s="85"/>
      <c r="CC25" s="85"/>
      <c r="CD25" s="85"/>
      <c r="CE25" s="85"/>
      <c r="CF25" s="85"/>
      <c r="CG25" s="85"/>
      <c r="CH25" s="85"/>
      <c r="CI25" s="85"/>
      <c r="CJ25" s="85"/>
      <c r="CK25" s="232"/>
      <c r="CL25" s="232"/>
      <c r="CM25" s="232"/>
      <c r="CN25" s="232"/>
      <c r="CO25" s="232"/>
      <c r="CP25" s="232"/>
      <c r="CQ25" s="232"/>
      <c r="CR25" s="232"/>
      <c r="CS25" s="232"/>
      <c r="CT25" s="232"/>
      <c r="CU25" s="232"/>
      <c r="CV25" s="232"/>
      <c r="CW25" s="232"/>
      <c r="CX25" s="232"/>
      <c r="CY25" s="232"/>
      <c r="CZ25" s="232"/>
      <c r="DA25" s="232"/>
      <c r="DB25" s="232"/>
      <c r="DC25" s="232"/>
      <c r="DD25" s="232"/>
      <c r="DE25" s="232"/>
      <c r="DF25" s="232"/>
      <c r="DG25" s="232"/>
      <c r="DH25" s="232"/>
      <c r="DI25" s="232"/>
      <c r="DJ25" s="232"/>
      <c r="DK25" s="232"/>
      <c r="DL25" s="232"/>
      <c r="DM25" s="232"/>
      <c r="DN25" s="232"/>
      <c r="DO25" s="232"/>
      <c r="DP25" s="85"/>
      <c r="DQ25" s="85"/>
      <c r="DR25" s="85"/>
      <c r="DS25" s="85"/>
      <c r="DT25" s="85"/>
      <c r="DU25" s="85"/>
      <c r="DV25" s="85"/>
      <c r="DW25" s="85"/>
      <c r="DX25" s="85"/>
      <c r="DY25" s="85"/>
      <c r="DZ25" s="85"/>
      <c r="EA25" s="85"/>
      <c r="EB25" s="85"/>
      <c r="EC25" s="85"/>
      <c r="ED25" s="85"/>
    </row>
    <row r="26" spans="41:134" ht="15" customHeight="1" x14ac:dyDescent="0.3">
      <c r="AO26" s="85"/>
      <c r="AP26" s="85"/>
      <c r="AQ26" s="85"/>
      <c r="AR26" s="85"/>
      <c r="AS26" s="85"/>
      <c r="AT26" s="233"/>
      <c r="AU26" s="233"/>
      <c r="AV26" s="233"/>
      <c r="AW26" s="233"/>
      <c r="AX26" s="233"/>
      <c r="AY26" s="233"/>
      <c r="AZ26" s="233"/>
      <c r="BA26" s="233"/>
      <c r="BB26" s="233"/>
      <c r="BC26" s="233"/>
      <c r="BD26" s="233"/>
      <c r="BE26" s="233"/>
      <c r="BF26" s="233"/>
      <c r="BG26" s="233"/>
      <c r="BH26" s="233"/>
      <c r="BI26" s="233"/>
      <c r="BJ26" s="233"/>
      <c r="BK26" s="233"/>
      <c r="BL26" s="233"/>
      <c r="BM26" s="233"/>
      <c r="BN26" s="233"/>
      <c r="BO26" s="233"/>
      <c r="BP26" s="233"/>
      <c r="BQ26" s="233"/>
      <c r="BR26" s="233"/>
      <c r="BS26" s="233"/>
      <c r="BT26" s="233"/>
      <c r="BU26" s="233"/>
      <c r="BV26" s="233"/>
      <c r="BW26" s="233"/>
      <c r="BX26" s="233"/>
      <c r="BY26" s="85"/>
      <c r="BZ26" s="85"/>
      <c r="CA26" s="85"/>
      <c r="CB26" s="85"/>
      <c r="CC26" s="85"/>
      <c r="CD26" s="85"/>
      <c r="CE26" s="85"/>
      <c r="CF26" s="85"/>
      <c r="CG26" s="85"/>
      <c r="CH26" s="85"/>
      <c r="CI26" s="85"/>
      <c r="CJ26" s="85"/>
      <c r="CK26" s="233"/>
      <c r="CL26" s="233"/>
      <c r="CM26" s="233"/>
      <c r="CN26" s="233"/>
      <c r="CO26" s="233"/>
      <c r="CP26" s="233"/>
      <c r="CQ26" s="233"/>
      <c r="CR26" s="233"/>
      <c r="CS26" s="233"/>
      <c r="CT26" s="233"/>
      <c r="CU26" s="233"/>
      <c r="CV26" s="233"/>
      <c r="CW26" s="233"/>
      <c r="CX26" s="233"/>
      <c r="CY26" s="233"/>
      <c r="CZ26" s="233"/>
      <c r="DA26" s="233"/>
      <c r="DB26" s="233"/>
      <c r="DC26" s="233"/>
      <c r="DD26" s="233"/>
      <c r="DE26" s="233"/>
      <c r="DF26" s="233"/>
      <c r="DG26" s="233"/>
      <c r="DH26" s="233"/>
      <c r="DI26" s="233"/>
      <c r="DJ26" s="233"/>
      <c r="DK26" s="233"/>
      <c r="DL26" s="233"/>
      <c r="DM26" s="233"/>
      <c r="DN26" s="233"/>
      <c r="DO26" s="233"/>
      <c r="DP26" s="85"/>
      <c r="DQ26" s="85"/>
      <c r="DR26" s="85"/>
      <c r="DS26" s="85"/>
      <c r="DT26" s="85"/>
      <c r="DU26" s="85"/>
      <c r="DV26" s="85"/>
      <c r="DW26" s="85"/>
      <c r="DX26" s="85"/>
      <c r="DY26" s="85"/>
      <c r="DZ26" s="85"/>
      <c r="EA26" s="85"/>
      <c r="EB26" s="85"/>
      <c r="EC26" s="85"/>
      <c r="ED26" s="85"/>
    </row>
    <row r="27" spans="41:134" ht="10.199999999999999" customHeight="1" x14ac:dyDescent="0.3"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85"/>
      <c r="BU27" s="85"/>
      <c r="BV27" s="85"/>
      <c r="BW27" s="85"/>
      <c r="BX27" s="85"/>
      <c r="BY27" s="85"/>
      <c r="BZ27" s="85"/>
      <c r="CA27" s="85"/>
      <c r="CB27" s="85"/>
      <c r="CC27" s="85"/>
      <c r="CD27" s="85"/>
      <c r="CE27" s="85"/>
      <c r="CF27" s="85"/>
      <c r="CG27" s="85"/>
      <c r="CH27" s="85"/>
      <c r="CI27" s="85"/>
      <c r="CJ27" s="85"/>
      <c r="CK27" s="85"/>
      <c r="CL27" s="85"/>
      <c r="CM27" s="85"/>
      <c r="CN27" s="85"/>
      <c r="CO27" s="85"/>
      <c r="CP27" s="85"/>
      <c r="CQ27" s="85"/>
      <c r="CR27" s="85"/>
      <c r="CS27" s="85"/>
      <c r="CT27" s="85"/>
      <c r="CU27" s="85"/>
      <c r="CV27" s="85"/>
      <c r="CW27" s="85"/>
      <c r="CX27" s="85"/>
      <c r="CY27" s="85"/>
      <c r="CZ27" s="85"/>
      <c r="DA27" s="85"/>
      <c r="DB27" s="85"/>
      <c r="DC27" s="85"/>
      <c r="DD27" s="85"/>
      <c r="DE27" s="85"/>
      <c r="DF27" s="85"/>
      <c r="DG27" s="85"/>
      <c r="DH27" s="85"/>
      <c r="DI27" s="85"/>
      <c r="DJ27" s="85"/>
      <c r="DK27" s="85"/>
      <c r="DL27" s="85"/>
      <c r="DM27" s="85"/>
      <c r="DN27" s="85"/>
      <c r="DO27" s="85"/>
      <c r="DP27" s="85"/>
      <c r="DQ27" s="85"/>
      <c r="DR27" s="85"/>
      <c r="DS27" s="85"/>
      <c r="DT27" s="85"/>
      <c r="DU27" s="85"/>
      <c r="DV27" s="85"/>
      <c r="DW27" s="85"/>
      <c r="DX27" s="85"/>
      <c r="DY27" s="85"/>
      <c r="DZ27" s="85"/>
      <c r="EA27" s="85"/>
      <c r="EB27" s="85"/>
      <c r="EC27" s="85"/>
      <c r="ED27" s="85"/>
    </row>
    <row r="28" spans="41:134" ht="5.0999999999999996" customHeight="1" thickBot="1" x14ac:dyDescent="0.35">
      <c r="AO28" s="86"/>
      <c r="AP28" s="86"/>
      <c r="AQ28" s="86"/>
      <c r="AR28" s="86"/>
      <c r="AS28" s="86"/>
      <c r="AT28" s="86"/>
      <c r="AU28" s="86"/>
      <c r="AV28" s="86"/>
      <c r="AW28" s="86"/>
      <c r="AX28" s="86"/>
      <c r="AY28" s="86"/>
      <c r="AZ28" s="86"/>
      <c r="BA28" s="86"/>
      <c r="BB28" s="86"/>
      <c r="BC28" s="86"/>
      <c r="BD28" s="86"/>
      <c r="BE28" s="86"/>
      <c r="BF28" s="86"/>
      <c r="BG28" s="86"/>
      <c r="BH28" s="86"/>
      <c r="BI28" s="86"/>
      <c r="BJ28" s="86"/>
      <c r="BK28" s="86"/>
      <c r="BL28" s="86"/>
      <c r="BM28" s="86"/>
      <c r="BN28" s="86"/>
      <c r="BO28" s="86"/>
      <c r="BP28" s="86"/>
      <c r="BQ28" s="86"/>
      <c r="BR28" s="86"/>
      <c r="BS28" s="86"/>
      <c r="BT28" s="368"/>
      <c r="BU28" s="368"/>
      <c r="BV28" s="368"/>
      <c r="BW28" s="368"/>
      <c r="BX28" s="368"/>
      <c r="BY28" s="368"/>
      <c r="BZ28" s="368"/>
      <c r="CA28" s="368"/>
      <c r="CB28" s="368"/>
      <c r="CC28" s="368"/>
      <c r="CD28" s="368"/>
      <c r="CE28" s="86"/>
      <c r="CF28" s="86"/>
      <c r="CG28" s="86"/>
      <c r="CH28" s="86"/>
      <c r="CI28" s="86"/>
      <c r="CJ28" s="86"/>
      <c r="CK28" s="86"/>
      <c r="CL28" s="86"/>
      <c r="CM28" s="86"/>
      <c r="CN28" s="86"/>
      <c r="CO28" s="86"/>
      <c r="CP28" s="86"/>
      <c r="CQ28" s="86"/>
      <c r="CR28" s="86"/>
      <c r="CS28" s="86"/>
      <c r="CT28" s="86"/>
      <c r="CU28" s="86"/>
      <c r="CV28" s="86"/>
      <c r="CW28" s="86"/>
      <c r="CX28" s="86"/>
      <c r="CY28" s="86"/>
      <c r="CZ28" s="86"/>
      <c r="DA28" s="86"/>
      <c r="DB28" s="86"/>
      <c r="DC28" s="86"/>
      <c r="DD28" s="86"/>
      <c r="DE28" s="86"/>
      <c r="DF28" s="86"/>
      <c r="DG28" s="86"/>
      <c r="DH28" s="86"/>
      <c r="DI28" s="86"/>
      <c r="DJ28" s="86"/>
      <c r="DK28" s="86"/>
      <c r="DL28" s="86"/>
      <c r="DM28" s="86"/>
      <c r="DN28" s="86"/>
      <c r="DO28" s="86"/>
      <c r="DP28" s="86"/>
      <c r="DQ28" s="86"/>
      <c r="DR28" s="86"/>
      <c r="DS28" s="86"/>
      <c r="DT28" s="86"/>
      <c r="DU28" s="86"/>
      <c r="DV28" s="86"/>
      <c r="DW28" s="86"/>
      <c r="DX28" s="86"/>
      <c r="DY28" s="86"/>
      <c r="DZ28" s="86"/>
      <c r="EA28" s="86"/>
      <c r="EB28" s="86"/>
      <c r="EC28" s="86"/>
      <c r="ED28" s="86"/>
    </row>
    <row r="29" spans="41:134" ht="15" customHeight="1" x14ac:dyDescent="0.3">
      <c r="AO29" s="86"/>
      <c r="AP29" s="86"/>
      <c r="AQ29" s="86"/>
      <c r="AR29" s="86"/>
      <c r="AS29" s="86"/>
      <c r="AT29" s="86"/>
      <c r="AU29" s="86"/>
      <c r="AV29" s="86"/>
      <c r="AW29" s="86"/>
      <c r="AX29" s="234"/>
      <c r="AY29" s="235"/>
      <c r="AZ29" s="235"/>
      <c r="BA29" s="235"/>
      <c r="BB29" s="235"/>
      <c r="BC29" s="235"/>
      <c r="BD29" s="235"/>
      <c r="BE29" s="235"/>
      <c r="BF29" s="235"/>
      <c r="BG29" s="235"/>
      <c r="BH29" s="235"/>
      <c r="BI29" s="236"/>
      <c r="BJ29" s="86"/>
      <c r="BK29" s="86"/>
      <c r="BL29" s="86"/>
      <c r="BM29" s="86"/>
      <c r="BN29" s="86"/>
      <c r="BO29" s="86"/>
      <c r="BP29" s="86"/>
      <c r="BQ29" s="86"/>
      <c r="BR29" s="86"/>
      <c r="BS29" s="139"/>
      <c r="BT29" s="201">
        <v>0</v>
      </c>
      <c r="BU29" s="202"/>
      <c r="BV29" s="202"/>
      <c r="BW29" s="202"/>
      <c r="BX29" s="202"/>
      <c r="BY29" s="202"/>
      <c r="BZ29" s="202"/>
      <c r="CA29" s="202"/>
      <c r="CB29" s="202"/>
      <c r="CC29" s="202"/>
      <c r="CD29" s="203"/>
      <c r="CE29" s="86"/>
      <c r="CF29" s="86"/>
      <c r="CG29" s="86"/>
      <c r="CH29" s="86"/>
      <c r="CI29" s="86"/>
      <c r="CJ29" s="86"/>
      <c r="CK29" s="86"/>
      <c r="CL29" s="86"/>
      <c r="CM29" s="86"/>
      <c r="CN29" s="86"/>
      <c r="CO29" s="86"/>
      <c r="CP29" s="201">
        <v>0</v>
      </c>
      <c r="CQ29" s="202"/>
      <c r="CR29" s="202"/>
      <c r="CS29" s="202"/>
      <c r="CT29" s="202"/>
      <c r="CU29" s="202"/>
      <c r="CV29" s="202"/>
      <c r="CW29" s="202"/>
      <c r="CX29" s="202"/>
      <c r="CY29" s="202"/>
      <c r="CZ29" s="203"/>
      <c r="DA29" s="86"/>
      <c r="DB29" s="86"/>
      <c r="DC29" s="86"/>
      <c r="DD29" s="86"/>
      <c r="DE29" s="86"/>
      <c r="DF29" s="86"/>
      <c r="DG29" s="86"/>
      <c r="DH29" s="86"/>
      <c r="DI29" s="86"/>
      <c r="DJ29" s="86"/>
      <c r="DK29" s="86"/>
      <c r="DL29" s="86"/>
      <c r="DM29" s="139"/>
      <c r="DN29" s="279">
        <v>0</v>
      </c>
      <c r="DO29" s="280"/>
      <c r="DP29" s="280"/>
      <c r="DQ29" s="280"/>
      <c r="DR29" s="280"/>
      <c r="DS29" s="280"/>
      <c r="DT29" s="280"/>
      <c r="DU29" s="280"/>
      <c r="DV29" s="280"/>
      <c r="DW29" s="280"/>
      <c r="DX29" s="281"/>
      <c r="DY29" s="86"/>
      <c r="DZ29" s="86"/>
      <c r="EA29" s="86"/>
      <c r="EB29" s="86"/>
      <c r="EC29" s="86"/>
      <c r="ED29" s="86"/>
    </row>
    <row r="30" spans="41:134" ht="15" customHeight="1" x14ac:dyDescent="0.35">
      <c r="AO30" s="86"/>
      <c r="AP30" s="229" t="s">
        <v>10</v>
      </c>
      <c r="AQ30" s="229"/>
      <c r="AR30" s="229"/>
      <c r="AS30" s="229"/>
      <c r="AT30" s="229"/>
      <c r="AU30" s="229"/>
      <c r="AV30" s="229"/>
      <c r="AW30" s="229"/>
      <c r="AX30" s="237"/>
      <c r="AY30" s="238"/>
      <c r="AZ30" s="238"/>
      <c r="BA30" s="238"/>
      <c r="BB30" s="238"/>
      <c r="BC30" s="238"/>
      <c r="BD30" s="238"/>
      <c r="BE30" s="238"/>
      <c r="BF30" s="238"/>
      <c r="BG30" s="238"/>
      <c r="BH30" s="238"/>
      <c r="BI30" s="239"/>
      <c r="BJ30" s="86"/>
      <c r="BK30" s="86"/>
      <c r="BL30" s="86"/>
      <c r="BM30" s="367" t="s">
        <v>11</v>
      </c>
      <c r="BN30" s="367"/>
      <c r="BO30" s="367"/>
      <c r="BP30" s="367"/>
      <c r="BQ30" s="367"/>
      <c r="BR30" s="367"/>
      <c r="BS30" s="230"/>
      <c r="BT30" s="204"/>
      <c r="BU30" s="205"/>
      <c r="BV30" s="205"/>
      <c r="BW30" s="205"/>
      <c r="BX30" s="205"/>
      <c r="BY30" s="205"/>
      <c r="BZ30" s="205"/>
      <c r="CA30" s="205"/>
      <c r="CB30" s="205"/>
      <c r="CC30" s="205"/>
      <c r="CD30" s="206"/>
      <c r="CE30" s="86"/>
      <c r="CF30" s="86"/>
      <c r="CG30" s="86"/>
      <c r="CH30" s="86"/>
      <c r="CI30" s="86"/>
      <c r="CJ30" s="226" t="s">
        <v>12</v>
      </c>
      <c r="CK30" s="226"/>
      <c r="CL30" s="226"/>
      <c r="CM30" s="226"/>
      <c r="CN30" s="226"/>
      <c r="CO30" s="226"/>
      <c r="CP30" s="204"/>
      <c r="CQ30" s="205"/>
      <c r="CR30" s="205"/>
      <c r="CS30" s="205"/>
      <c r="CT30" s="205"/>
      <c r="CU30" s="205"/>
      <c r="CV30" s="205"/>
      <c r="CW30" s="205"/>
      <c r="CX30" s="205"/>
      <c r="CY30" s="205"/>
      <c r="CZ30" s="206"/>
      <c r="DA30" s="86"/>
      <c r="DB30" s="86"/>
      <c r="DC30" s="86"/>
      <c r="DD30" s="86"/>
      <c r="DE30" s="86"/>
      <c r="DF30" s="86"/>
      <c r="DG30" s="226" t="s">
        <v>13</v>
      </c>
      <c r="DH30" s="226"/>
      <c r="DI30" s="226"/>
      <c r="DJ30" s="226"/>
      <c r="DK30" s="226"/>
      <c r="DL30" s="226"/>
      <c r="DM30" s="226"/>
      <c r="DN30" s="282"/>
      <c r="DO30" s="283"/>
      <c r="DP30" s="283"/>
      <c r="DQ30" s="283"/>
      <c r="DR30" s="283"/>
      <c r="DS30" s="283"/>
      <c r="DT30" s="283"/>
      <c r="DU30" s="283"/>
      <c r="DV30" s="283"/>
      <c r="DW30" s="283"/>
      <c r="DX30" s="284"/>
      <c r="DY30" s="86"/>
      <c r="DZ30" s="86"/>
      <c r="EA30" s="86"/>
      <c r="EB30" s="86"/>
      <c r="EC30" s="86"/>
      <c r="ED30" s="86"/>
    </row>
    <row r="31" spans="41:134" ht="15" customHeight="1" x14ac:dyDescent="0.3">
      <c r="AO31" s="86"/>
      <c r="AP31" s="86"/>
      <c r="AQ31" s="86"/>
      <c r="AR31" s="86"/>
      <c r="AS31" s="86"/>
      <c r="AT31" s="86"/>
      <c r="AU31" s="86"/>
      <c r="AV31" s="86"/>
      <c r="AW31" s="86"/>
      <c r="AX31" s="86"/>
      <c r="AY31" s="86"/>
      <c r="AZ31" s="86"/>
      <c r="BA31" s="86"/>
      <c r="BB31" s="86"/>
      <c r="BC31" s="86"/>
      <c r="BD31" s="86"/>
      <c r="BE31" s="86"/>
      <c r="BF31" s="86"/>
      <c r="BG31" s="86"/>
      <c r="BH31" s="86"/>
      <c r="BI31" s="86"/>
      <c r="BJ31" s="86"/>
      <c r="BK31" s="86"/>
      <c r="BL31" s="86"/>
      <c r="BM31" s="121"/>
      <c r="BN31" s="121"/>
      <c r="BO31" s="121"/>
      <c r="BP31" s="121"/>
      <c r="BQ31" s="121"/>
      <c r="BR31" s="121"/>
      <c r="BS31" s="285"/>
      <c r="BT31" s="285"/>
      <c r="BU31" s="285"/>
      <c r="BV31" s="87"/>
      <c r="BW31" s="123"/>
      <c r="BX31" s="123"/>
      <c r="BY31" s="123"/>
      <c r="BZ31" s="87"/>
      <c r="CA31" s="123"/>
      <c r="CB31" s="123"/>
      <c r="CC31" s="123"/>
      <c r="CD31" s="86"/>
      <c r="CE31" s="86"/>
      <c r="CF31" s="86"/>
      <c r="CG31" s="86"/>
      <c r="CH31" s="86"/>
      <c r="CI31" s="86"/>
      <c r="CJ31" s="86"/>
      <c r="CK31" s="86"/>
      <c r="CL31" s="86"/>
      <c r="CM31" s="86"/>
      <c r="CN31" s="86"/>
      <c r="CO31" s="86"/>
      <c r="CP31" s="86"/>
      <c r="CQ31" s="86"/>
      <c r="CR31" s="86"/>
      <c r="CS31" s="86"/>
      <c r="CT31" s="86"/>
      <c r="CU31" s="86"/>
      <c r="CV31" s="86"/>
      <c r="CW31" s="86"/>
      <c r="CX31" s="86"/>
      <c r="CY31" s="86"/>
      <c r="CZ31" s="86"/>
      <c r="DA31" s="86"/>
      <c r="DB31" s="86"/>
      <c r="DC31" s="86"/>
      <c r="DD31" s="86"/>
      <c r="DE31" s="86"/>
      <c r="DF31" s="86"/>
      <c r="DG31" s="86"/>
      <c r="DH31" s="86"/>
      <c r="DI31" s="86"/>
      <c r="DJ31" s="86"/>
      <c r="DK31" s="86"/>
      <c r="DL31" s="86"/>
      <c r="DM31" s="86"/>
      <c r="DN31" s="86"/>
      <c r="DO31" s="86"/>
      <c r="DP31" s="86"/>
      <c r="DQ31" s="86"/>
      <c r="DR31" s="86"/>
      <c r="DS31" s="86"/>
      <c r="DT31" s="86"/>
      <c r="DU31" s="86"/>
      <c r="DV31" s="86"/>
      <c r="DW31" s="86"/>
      <c r="DX31" s="86"/>
      <c r="DY31" s="86"/>
      <c r="DZ31" s="86"/>
      <c r="EA31" s="86"/>
      <c r="EB31" s="86"/>
      <c r="EC31" s="86"/>
      <c r="ED31" s="86"/>
    </row>
    <row r="32" spans="41:134" ht="15" customHeight="1" x14ac:dyDescent="0.3">
      <c r="AO32" s="86"/>
      <c r="AP32" s="86"/>
      <c r="AQ32" s="86"/>
      <c r="AR32" s="86"/>
      <c r="AS32" s="86"/>
      <c r="AT32" s="86"/>
      <c r="AU32" s="86"/>
      <c r="AV32" s="86"/>
      <c r="AW32" s="86"/>
      <c r="AX32" s="86"/>
      <c r="AY32" s="88"/>
      <c r="AZ32" s="88"/>
      <c r="BA32" s="88"/>
      <c r="BB32" s="88"/>
      <c r="BC32" s="88"/>
      <c r="BD32" s="88"/>
      <c r="BE32" s="253"/>
      <c r="BF32" s="253"/>
      <c r="BG32" s="89"/>
      <c r="BH32" s="86"/>
      <c r="BI32" s="88"/>
      <c r="BJ32" s="86"/>
      <c r="BK32" s="86"/>
      <c r="BL32" s="90"/>
      <c r="BM32" s="225" t="s">
        <v>14</v>
      </c>
      <c r="BN32" s="225"/>
      <c r="BO32" s="225"/>
      <c r="BP32" s="225"/>
      <c r="BQ32" s="225"/>
      <c r="BR32" s="225"/>
      <c r="BS32" s="196"/>
      <c r="BT32" s="196"/>
      <c r="BU32" s="196"/>
      <c r="BV32" s="88"/>
      <c r="BW32" s="196"/>
      <c r="BX32" s="196"/>
      <c r="BY32" s="196"/>
      <c r="BZ32" s="88"/>
      <c r="CA32" s="196"/>
      <c r="CB32" s="196"/>
      <c r="CC32" s="196"/>
      <c r="CD32" s="88"/>
      <c r="CE32" s="88"/>
      <c r="CF32" s="86"/>
      <c r="CG32" s="86"/>
      <c r="CH32" s="86"/>
      <c r="CI32" s="86"/>
      <c r="CJ32" s="86"/>
      <c r="CK32" s="96"/>
      <c r="CL32" s="96"/>
      <c r="CM32" s="96"/>
      <c r="CN32" s="96"/>
      <c r="CO32" s="96"/>
      <c r="CP32" s="96"/>
      <c r="CQ32" s="96"/>
      <c r="CR32" s="96"/>
      <c r="CS32" s="96"/>
      <c r="CT32" s="96"/>
      <c r="CU32" s="96"/>
      <c r="CV32" s="96"/>
      <c r="CW32" s="96"/>
      <c r="CX32" s="96"/>
      <c r="CY32" s="96"/>
      <c r="CZ32" s="96"/>
      <c r="DA32" s="96"/>
      <c r="DB32" s="86"/>
      <c r="DC32" s="88"/>
      <c r="DD32" s="86"/>
      <c r="DE32" s="88"/>
      <c r="DF32" s="86"/>
      <c r="DG32" s="96"/>
      <c r="DH32" s="96"/>
      <c r="DI32" s="96"/>
      <c r="DJ32" s="96"/>
      <c r="DK32" s="96"/>
      <c r="DL32" s="96"/>
      <c r="DM32" s="96"/>
      <c r="DN32" s="96"/>
      <c r="DO32" s="96"/>
      <c r="DP32" s="96"/>
      <c r="DQ32" s="96"/>
      <c r="DR32" s="96"/>
      <c r="DS32" s="96"/>
      <c r="DT32" s="96"/>
      <c r="DU32" s="88"/>
      <c r="DV32" s="88"/>
      <c r="DW32" s="86"/>
      <c r="DX32" s="86"/>
      <c r="DY32" s="86"/>
      <c r="DZ32" s="86"/>
      <c r="EA32" s="86"/>
      <c r="EB32" s="86"/>
      <c r="EC32" s="86"/>
      <c r="ED32" s="86"/>
    </row>
    <row r="33" spans="41:134" ht="15" customHeight="1" thickBot="1" x14ac:dyDescent="0.35">
      <c r="AO33" s="86"/>
      <c r="AP33" s="91"/>
      <c r="AQ33" s="91"/>
      <c r="AR33" s="91"/>
      <c r="AS33" s="91"/>
      <c r="AT33" s="91"/>
      <c r="AU33" s="91"/>
      <c r="AV33" s="91"/>
      <c r="AW33" s="91"/>
      <c r="AX33" s="91"/>
      <c r="AY33" s="88"/>
      <c r="AZ33" s="88"/>
      <c r="BA33" s="89"/>
      <c r="BB33" s="89"/>
      <c r="BC33" s="89"/>
      <c r="BD33" s="88"/>
      <c r="BE33" s="89"/>
      <c r="BF33" s="89"/>
      <c r="BG33" s="89"/>
      <c r="BH33" s="86"/>
      <c r="BI33" s="88"/>
      <c r="BJ33" s="86"/>
      <c r="BK33" s="86"/>
      <c r="BL33" s="90"/>
      <c r="BM33" s="225"/>
      <c r="BN33" s="225"/>
      <c r="BO33" s="225"/>
      <c r="BP33" s="225"/>
      <c r="BQ33" s="225"/>
      <c r="BR33" s="225"/>
      <c r="BS33" s="196"/>
      <c r="BT33" s="196"/>
      <c r="BU33" s="196"/>
      <c r="BV33" s="88"/>
      <c r="BW33" s="196"/>
      <c r="BX33" s="196"/>
      <c r="BY33" s="196"/>
      <c r="BZ33" s="88"/>
      <c r="CA33" s="196"/>
      <c r="CB33" s="196"/>
      <c r="CC33" s="196"/>
      <c r="CD33" s="88"/>
      <c r="CE33" s="88"/>
      <c r="CF33" s="86"/>
      <c r="CG33" s="86"/>
      <c r="CH33" s="86"/>
      <c r="CI33" s="86"/>
      <c r="CJ33" s="86"/>
      <c r="CK33" s="96"/>
      <c r="CL33" s="96"/>
      <c r="CM33" s="96"/>
      <c r="CN33" s="96"/>
      <c r="CO33" s="96"/>
      <c r="CP33" s="96"/>
      <c r="CQ33" s="96"/>
      <c r="CR33" s="96"/>
      <c r="CS33" s="96"/>
      <c r="CT33" s="96"/>
      <c r="CU33" s="96"/>
      <c r="CV33" s="124"/>
      <c r="CW33" s="124"/>
      <c r="CX33" s="124"/>
      <c r="CY33" s="88"/>
      <c r="CZ33" s="88"/>
      <c r="DA33" s="88"/>
      <c r="DB33" s="86"/>
      <c r="DC33" s="88"/>
      <c r="DD33" s="86"/>
      <c r="DE33" s="88"/>
      <c r="DF33" s="86"/>
      <c r="DG33" s="96"/>
      <c r="DH33" s="96"/>
      <c r="DI33" s="96"/>
      <c r="DJ33" s="96"/>
      <c r="DK33" s="96"/>
      <c r="DL33" s="96"/>
      <c r="DM33" s="96"/>
      <c r="DN33" s="96"/>
      <c r="DO33" s="96"/>
      <c r="DP33" s="96"/>
      <c r="DQ33" s="96"/>
      <c r="DR33" s="96"/>
      <c r="DS33" s="96"/>
      <c r="DT33" s="88"/>
      <c r="DU33" s="88"/>
      <c r="DV33" s="88"/>
      <c r="DW33" s="86"/>
      <c r="DX33" s="86"/>
      <c r="DY33" s="86"/>
      <c r="DZ33" s="86"/>
      <c r="EA33" s="86"/>
      <c r="EB33" s="86"/>
      <c r="EC33" s="86"/>
      <c r="ED33" s="86"/>
    </row>
    <row r="34" spans="41:134" ht="5.0999999999999996" customHeight="1" x14ac:dyDescent="0.3">
      <c r="AO34" s="86"/>
      <c r="AP34" s="286" t="s">
        <v>15</v>
      </c>
      <c r="AQ34" s="286"/>
      <c r="AR34" s="286"/>
      <c r="AS34" s="286"/>
      <c r="AT34" s="286"/>
      <c r="AU34" s="286"/>
      <c r="AV34" s="286"/>
      <c r="AW34" s="286"/>
      <c r="AX34" s="287"/>
      <c r="AY34" s="288"/>
      <c r="AZ34" s="288"/>
      <c r="BA34" s="288"/>
      <c r="BB34" s="288"/>
      <c r="BC34" s="288"/>
      <c r="BD34" s="288"/>
      <c r="BE34" s="288"/>
      <c r="BF34" s="288"/>
      <c r="BG34" s="288"/>
      <c r="BH34" s="288"/>
      <c r="BI34" s="289"/>
      <c r="BJ34" s="86"/>
      <c r="BK34" s="86"/>
      <c r="BL34" s="86"/>
      <c r="BM34" s="96"/>
      <c r="BN34" s="96"/>
      <c r="BO34" s="96"/>
      <c r="BP34" s="96"/>
      <c r="BQ34" s="96"/>
      <c r="BR34" s="96"/>
      <c r="BS34" s="196"/>
      <c r="BT34" s="196"/>
      <c r="BU34" s="196"/>
      <c r="BV34" s="96"/>
      <c r="BW34" s="196"/>
      <c r="BX34" s="196"/>
      <c r="BY34" s="196"/>
      <c r="BZ34" s="96"/>
      <c r="CA34" s="96"/>
      <c r="CB34" s="96"/>
      <c r="CC34" s="86"/>
      <c r="CD34" s="86"/>
      <c r="CE34" s="88"/>
      <c r="CF34" s="86"/>
      <c r="CG34" s="86"/>
      <c r="CH34" s="86"/>
      <c r="CI34" s="86"/>
      <c r="CJ34" s="86"/>
      <c r="CK34" s="96"/>
      <c r="CL34" s="96"/>
      <c r="CM34" s="96"/>
      <c r="CN34" s="96"/>
      <c r="CO34" s="96"/>
      <c r="CP34" s="96"/>
      <c r="CQ34" s="96"/>
      <c r="CR34" s="96"/>
      <c r="CS34" s="96"/>
      <c r="CT34" s="96"/>
      <c r="CU34" s="96"/>
      <c r="CV34" s="88"/>
      <c r="CW34" s="88"/>
      <c r="CX34" s="88"/>
      <c r="CY34" s="88"/>
      <c r="CZ34" s="88"/>
      <c r="DA34" s="88"/>
      <c r="DB34" s="86"/>
      <c r="DC34" s="88"/>
      <c r="DD34" s="86"/>
      <c r="DE34" s="88"/>
      <c r="DF34" s="86"/>
      <c r="DG34" s="96"/>
      <c r="DH34" s="96"/>
      <c r="DI34" s="96"/>
      <c r="DJ34" s="96"/>
      <c r="DK34" s="96"/>
      <c r="DL34" s="96"/>
      <c r="DM34" s="96"/>
      <c r="DN34" s="96"/>
      <c r="DO34" s="96"/>
      <c r="DP34" s="96"/>
      <c r="DQ34" s="96"/>
      <c r="DR34" s="96"/>
      <c r="DS34" s="96"/>
      <c r="DT34" s="88"/>
      <c r="DU34" s="88"/>
      <c r="DV34" s="88"/>
      <c r="DW34" s="86"/>
      <c r="DX34" s="86"/>
      <c r="DY34" s="86"/>
      <c r="DZ34" s="86"/>
      <c r="EA34" s="86"/>
      <c r="EB34" s="86"/>
      <c r="EC34" s="86"/>
      <c r="ED34" s="86"/>
    </row>
    <row r="35" spans="41:134" ht="5.0999999999999996" customHeight="1" x14ac:dyDescent="0.3">
      <c r="AO35" s="86"/>
      <c r="AP35" s="286"/>
      <c r="AQ35" s="286"/>
      <c r="AR35" s="286"/>
      <c r="AS35" s="286"/>
      <c r="AT35" s="286"/>
      <c r="AU35" s="286"/>
      <c r="AV35" s="286"/>
      <c r="AW35" s="286"/>
      <c r="AX35" s="290"/>
      <c r="AY35" s="291"/>
      <c r="AZ35" s="291"/>
      <c r="BA35" s="291"/>
      <c r="BB35" s="291"/>
      <c r="BC35" s="291"/>
      <c r="BD35" s="291"/>
      <c r="BE35" s="291"/>
      <c r="BF35" s="291"/>
      <c r="BG35" s="291"/>
      <c r="BH35" s="291"/>
      <c r="BI35" s="292"/>
      <c r="BJ35" s="86"/>
      <c r="BK35" s="86"/>
      <c r="BL35" s="86"/>
      <c r="BM35" s="96"/>
      <c r="BN35" s="96"/>
      <c r="BO35" s="96"/>
      <c r="BP35" s="96"/>
      <c r="BQ35" s="96"/>
      <c r="BR35" s="96"/>
      <c r="BS35" s="122"/>
      <c r="BT35" s="122"/>
      <c r="BU35" s="122"/>
      <c r="BV35" s="96"/>
      <c r="BW35" s="122"/>
      <c r="BX35" s="122"/>
      <c r="BY35" s="122"/>
      <c r="BZ35" s="96"/>
      <c r="CA35" s="96"/>
      <c r="CB35" s="96"/>
      <c r="CC35" s="86"/>
      <c r="CD35" s="86"/>
      <c r="CE35" s="88"/>
      <c r="CF35" s="86"/>
      <c r="CG35" s="86"/>
      <c r="CH35" s="86"/>
      <c r="CI35" s="86"/>
      <c r="CJ35" s="86"/>
      <c r="CK35" s="96"/>
      <c r="CL35" s="96"/>
      <c r="CM35" s="96"/>
      <c r="CN35" s="96"/>
      <c r="CO35" s="96"/>
      <c r="CP35" s="96"/>
      <c r="CQ35" s="96"/>
      <c r="CR35" s="96"/>
      <c r="CS35" s="96"/>
      <c r="CT35" s="96"/>
      <c r="CU35" s="96"/>
      <c r="CV35" s="88"/>
      <c r="CW35" s="88"/>
      <c r="CX35" s="88"/>
      <c r="CY35" s="88"/>
      <c r="CZ35" s="88"/>
      <c r="DA35" s="88"/>
      <c r="DB35" s="86"/>
      <c r="DC35" s="88"/>
      <c r="DD35" s="86"/>
      <c r="DE35" s="88"/>
      <c r="DF35" s="86"/>
      <c r="DG35" s="96"/>
      <c r="DH35" s="96"/>
      <c r="DI35" s="96"/>
      <c r="DJ35" s="96"/>
      <c r="DK35" s="96"/>
      <c r="DL35" s="96"/>
      <c r="DM35" s="96"/>
      <c r="DN35" s="96"/>
      <c r="DO35" s="96"/>
      <c r="DP35" s="96"/>
      <c r="DQ35" s="96"/>
      <c r="DR35" s="96"/>
      <c r="DS35" s="96"/>
      <c r="DT35" s="88"/>
      <c r="DU35" s="88"/>
      <c r="DV35" s="88"/>
      <c r="DW35" s="86"/>
      <c r="DX35" s="86"/>
      <c r="DY35" s="86"/>
      <c r="DZ35" s="86"/>
      <c r="EA35" s="86"/>
      <c r="EB35" s="86"/>
      <c r="EC35" s="86"/>
      <c r="ED35" s="86"/>
    </row>
    <row r="36" spans="41:134" ht="15" customHeight="1" x14ac:dyDescent="0.3">
      <c r="AO36" s="86"/>
      <c r="AP36" s="286"/>
      <c r="AQ36" s="286"/>
      <c r="AR36" s="286"/>
      <c r="AS36" s="286"/>
      <c r="AT36" s="286"/>
      <c r="AU36" s="286"/>
      <c r="AV36" s="286"/>
      <c r="AW36" s="286"/>
      <c r="AX36" s="290"/>
      <c r="AY36" s="291"/>
      <c r="AZ36" s="291"/>
      <c r="BA36" s="291"/>
      <c r="BB36" s="291"/>
      <c r="BC36" s="291"/>
      <c r="BD36" s="291"/>
      <c r="BE36" s="291"/>
      <c r="BF36" s="291"/>
      <c r="BG36" s="291"/>
      <c r="BH36" s="291"/>
      <c r="BI36" s="292"/>
      <c r="BJ36" s="86"/>
      <c r="BK36" s="86"/>
      <c r="BL36" s="86"/>
      <c r="BM36" s="96"/>
      <c r="BN36" s="96"/>
      <c r="BO36" s="96"/>
      <c r="BP36" s="96"/>
      <c r="BQ36" s="96"/>
      <c r="BR36" s="96"/>
      <c r="BS36" s="96"/>
      <c r="BT36" s="96"/>
      <c r="BU36" s="96"/>
      <c r="BV36" s="96"/>
      <c r="BW36" s="96"/>
      <c r="BX36" s="96"/>
      <c r="BY36" s="96"/>
      <c r="BZ36" s="96"/>
      <c r="CA36" s="96"/>
      <c r="CB36" s="96"/>
      <c r="CC36" s="86"/>
      <c r="CD36" s="88"/>
      <c r="CE36" s="86"/>
      <c r="CF36" s="86"/>
      <c r="CG36" s="86"/>
      <c r="CH36" s="86"/>
      <c r="CI36" s="86"/>
      <c r="CJ36" s="86"/>
      <c r="CK36" s="316" t="s">
        <v>16</v>
      </c>
      <c r="CL36" s="316"/>
      <c r="CM36" s="316"/>
      <c r="CN36" s="316"/>
      <c r="CO36" s="316"/>
      <c r="CP36" s="316"/>
      <c r="CQ36" s="316"/>
      <c r="CR36" s="316"/>
      <c r="CS36" s="316"/>
      <c r="CT36" s="316"/>
      <c r="CU36" s="316"/>
      <c r="CV36" s="316"/>
      <c r="CW36" s="316"/>
      <c r="CX36" s="316"/>
      <c r="CY36" s="316"/>
      <c r="CZ36" s="316"/>
      <c r="DA36" s="86"/>
      <c r="DB36" s="86"/>
      <c r="DC36" s="86"/>
      <c r="DD36" s="86"/>
      <c r="DE36" s="86"/>
      <c r="DF36" s="86"/>
      <c r="DG36" s="86"/>
      <c r="DH36" s="124"/>
      <c r="DI36" s="124"/>
      <c r="DJ36" s="124"/>
      <c r="DK36" s="124"/>
      <c r="DL36" s="124"/>
      <c r="DM36" s="124"/>
      <c r="DN36" s="124"/>
      <c r="DO36" s="124"/>
      <c r="DP36" s="124"/>
      <c r="DQ36" s="124"/>
      <c r="DR36" s="124"/>
      <c r="DS36" s="124"/>
      <c r="DT36" s="124"/>
      <c r="DU36" s="124"/>
      <c r="DV36" s="124"/>
      <c r="DW36" s="124"/>
      <c r="DX36" s="124"/>
      <c r="DY36" s="86"/>
      <c r="DZ36" s="86"/>
      <c r="EA36" s="86"/>
      <c r="EB36" s="86"/>
      <c r="EC36" s="86"/>
      <c r="ED36" s="86"/>
    </row>
    <row r="37" spans="41:134" ht="5.0999999999999996" customHeight="1" thickBot="1" x14ac:dyDescent="0.35">
      <c r="AO37" s="86"/>
      <c r="AP37" s="86"/>
      <c r="AQ37" s="86"/>
      <c r="AR37" s="86"/>
      <c r="AS37" s="86"/>
      <c r="AT37" s="86"/>
      <c r="AU37" s="86"/>
      <c r="AV37" s="86"/>
      <c r="AW37" s="86"/>
      <c r="AX37" s="86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8"/>
      <c r="BN37" s="253"/>
      <c r="BO37" s="253"/>
      <c r="BP37" s="253"/>
      <c r="BQ37" s="253"/>
      <c r="BR37" s="253"/>
      <c r="BS37" s="253"/>
      <c r="BT37" s="253"/>
      <c r="BU37" s="253"/>
      <c r="BV37" s="253"/>
      <c r="BW37" s="253"/>
      <c r="BX37" s="253"/>
      <c r="BY37" s="253"/>
      <c r="BZ37" s="253"/>
      <c r="CA37" s="253"/>
      <c r="CB37" s="253"/>
      <c r="CC37" s="253"/>
      <c r="CD37" s="253"/>
      <c r="CE37" s="86"/>
      <c r="CF37" s="86"/>
      <c r="CG37" s="86"/>
      <c r="CH37" s="86"/>
      <c r="CI37" s="86"/>
      <c r="CJ37" s="86"/>
      <c r="CK37" s="317"/>
      <c r="CL37" s="317"/>
      <c r="CM37" s="317"/>
      <c r="CN37" s="317"/>
      <c r="CO37" s="317"/>
      <c r="CP37" s="317"/>
      <c r="CQ37" s="317"/>
      <c r="CR37" s="317"/>
      <c r="CS37" s="317"/>
      <c r="CT37" s="317"/>
      <c r="CU37" s="317"/>
      <c r="CV37" s="317"/>
      <c r="CW37" s="317"/>
      <c r="CX37" s="317"/>
      <c r="CY37" s="317"/>
      <c r="CZ37" s="317"/>
      <c r="DA37" s="86"/>
      <c r="DB37" s="86"/>
      <c r="DC37" s="86"/>
      <c r="DD37" s="86"/>
      <c r="DE37" s="86"/>
      <c r="DF37" s="86"/>
      <c r="DG37" s="217"/>
      <c r="DH37" s="217"/>
      <c r="DI37" s="217"/>
      <c r="DJ37" s="217"/>
      <c r="DK37" s="217"/>
      <c r="DL37" s="217"/>
      <c r="DM37" s="217"/>
      <c r="DN37" s="217"/>
      <c r="DO37" s="217"/>
      <c r="DP37" s="217"/>
      <c r="DQ37" s="217"/>
      <c r="DR37" s="217"/>
      <c r="DS37" s="217"/>
      <c r="DT37" s="217"/>
      <c r="DU37" s="217"/>
      <c r="DV37" s="217"/>
      <c r="DW37" s="217"/>
      <c r="DX37" s="217"/>
      <c r="DY37" s="86"/>
      <c r="DZ37" s="86"/>
      <c r="EA37" s="86"/>
      <c r="EB37" s="86"/>
      <c r="EC37" s="86"/>
      <c r="ED37" s="86"/>
    </row>
    <row r="38" spans="41:134" ht="15" customHeight="1" x14ac:dyDescent="0.3">
      <c r="AO38" s="86"/>
      <c r="AP38" s="86"/>
      <c r="AQ38" s="86"/>
      <c r="AR38" s="86"/>
      <c r="AS38" s="86"/>
      <c r="AT38" s="86"/>
      <c r="AU38" s="86"/>
      <c r="AV38" s="86"/>
      <c r="AW38" s="86"/>
      <c r="AX38" s="86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293" t="s">
        <v>17</v>
      </c>
      <c r="BO38" s="293"/>
      <c r="BP38" s="293"/>
      <c r="BQ38" s="293"/>
      <c r="BR38" s="293"/>
      <c r="BS38" s="293"/>
      <c r="BT38" s="293"/>
      <c r="BU38" s="293"/>
      <c r="BV38" s="293"/>
      <c r="BW38" s="293"/>
      <c r="BX38" s="254">
        <f>IF(BT29&gt;0,IF(Calculator!C18=TRUE,MaxPMTFHA,IF(Calculator!C22,MaxPMTConv,0)),0)</f>
        <v>0</v>
      </c>
      <c r="BY38" s="255"/>
      <c r="BZ38" s="255"/>
      <c r="CA38" s="255"/>
      <c r="CB38" s="255"/>
      <c r="CC38" s="255"/>
      <c r="CD38" s="256"/>
      <c r="CE38" s="93"/>
      <c r="CF38" s="86"/>
      <c r="CG38" s="86"/>
      <c r="CH38" s="93"/>
      <c r="CI38" s="86"/>
      <c r="CJ38" s="86"/>
      <c r="CK38" s="264"/>
      <c r="CL38" s="265"/>
      <c r="CM38" s="265"/>
      <c r="CN38" s="265"/>
      <c r="CO38" s="265"/>
      <c r="CP38" s="265"/>
      <c r="CQ38" s="265"/>
      <c r="CR38" s="265"/>
      <c r="CS38" s="265"/>
      <c r="CT38" s="265"/>
      <c r="CU38" s="265"/>
      <c r="CV38" s="265"/>
      <c r="CW38" s="265"/>
      <c r="CX38" s="265"/>
      <c r="CY38" s="265"/>
      <c r="CZ38" s="266"/>
      <c r="DA38" s="93"/>
      <c r="DB38" s="86"/>
      <c r="DC38" s="93"/>
      <c r="DD38" s="86"/>
      <c r="DE38" s="93"/>
      <c r="DF38" s="86"/>
      <c r="DG38" s="217"/>
      <c r="DH38" s="217"/>
      <c r="DI38" s="217"/>
      <c r="DJ38" s="217"/>
      <c r="DK38" s="217"/>
      <c r="DL38" s="217"/>
      <c r="DM38" s="217"/>
      <c r="DN38" s="217"/>
      <c r="DO38" s="217"/>
      <c r="DP38" s="217"/>
      <c r="DQ38" s="217"/>
      <c r="DR38" s="217"/>
      <c r="DS38" s="217"/>
      <c r="DT38" s="217"/>
      <c r="DU38" s="217"/>
      <c r="DV38" s="217"/>
      <c r="DW38" s="217"/>
      <c r="DX38" s="217"/>
      <c r="DY38" s="93"/>
      <c r="DZ38" s="86"/>
      <c r="EA38" s="93"/>
      <c r="EB38" s="93"/>
      <c r="EC38" s="93"/>
      <c r="ED38" s="93"/>
    </row>
    <row r="39" spans="41:134" ht="15" customHeight="1" x14ac:dyDescent="0.3">
      <c r="AO39" s="86"/>
      <c r="AP39" s="86"/>
      <c r="AQ39" s="297"/>
      <c r="AR39" s="297"/>
      <c r="AS39" s="297"/>
      <c r="AT39" s="297"/>
      <c r="AU39" s="297"/>
      <c r="AV39" s="297"/>
      <c r="AW39" s="297"/>
      <c r="AX39" s="297"/>
      <c r="AY39" s="297"/>
      <c r="AZ39" s="297"/>
      <c r="BA39" s="297"/>
      <c r="BB39" s="297"/>
      <c r="BC39" s="297"/>
      <c r="BD39" s="297"/>
      <c r="BE39" s="297"/>
      <c r="BF39" s="297"/>
      <c r="BG39" s="297"/>
      <c r="BH39" s="297"/>
      <c r="BI39" s="297"/>
      <c r="BJ39" s="86"/>
      <c r="BK39" s="86"/>
      <c r="BL39" s="86"/>
      <c r="BM39" s="86"/>
      <c r="BN39" s="294"/>
      <c r="BO39" s="294"/>
      <c r="BP39" s="294"/>
      <c r="BQ39" s="294"/>
      <c r="BR39" s="294"/>
      <c r="BS39" s="294"/>
      <c r="BT39" s="294"/>
      <c r="BU39" s="294"/>
      <c r="BV39" s="294"/>
      <c r="BW39" s="294"/>
      <c r="BX39" s="257"/>
      <c r="BY39" s="258"/>
      <c r="BZ39" s="258"/>
      <c r="CA39" s="258"/>
      <c r="CB39" s="258"/>
      <c r="CC39" s="258"/>
      <c r="CD39" s="259"/>
      <c r="CE39" s="93"/>
      <c r="CF39" s="86"/>
      <c r="CG39" s="86"/>
      <c r="CH39" s="93"/>
      <c r="CI39" s="86"/>
      <c r="CJ39" s="86"/>
      <c r="CK39" s="267"/>
      <c r="CL39" s="268"/>
      <c r="CM39" s="268"/>
      <c r="CN39" s="268"/>
      <c r="CO39" s="268"/>
      <c r="CP39" s="268"/>
      <c r="CQ39" s="268"/>
      <c r="CR39" s="268"/>
      <c r="CS39" s="268"/>
      <c r="CT39" s="268"/>
      <c r="CU39" s="268"/>
      <c r="CV39" s="268"/>
      <c r="CW39" s="268"/>
      <c r="CX39" s="268"/>
      <c r="CY39" s="268"/>
      <c r="CZ39" s="269"/>
      <c r="DA39" s="93"/>
      <c r="DB39" s="86"/>
      <c r="DC39" s="93"/>
      <c r="DD39" s="86"/>
      <c r="DE39" s="93"/>
      <c r="DF39" s="86"/>
      <c r="DG39" s="218"/>
      <c r="DH39" s="218"/>
      <c r="DI39" s="218"/>
      <c r="DJ39" s="218"/>
      <c r="DK39" s="218"/>
      <c r="DL39" s="218"/>
      <c r="DM39" s="218"/>
      <c r="DN39" s="218"/>
      <c r="DO39" s="218"/>
      <c r="DP39" s="218"/>
      <c r="DQ39" s="218"/>
      <c r="DR39" s="218"/>
      <c r="DS39" s="218"/>
      <c r="DT39" s="218"/>
      <c r="DU39" s="218"/>
      <c r="DV39" s="218"/>
      <c r="DW39" s="218"/>
      <c r="DX39" s="218"/>
      <c r="DY39" s="93"/>
      <c r="DZ39" s="86"/>
      <c r="EA39" s="93"/>
      <c r="EB39" s="93"/>
      <c r="EC39" s="93"/>
      <c r="ED39" s="93"/>
    </row>
    <row r="40" spans="41:134" ht="15" customHeight="1" thickBot="1" x14ac:dyDescent="0.35">
      <c r="AO40" s="86"/>
      <c r="AP40" s="86"/>
      <c r="AQ40" s="297"/>
      <c r="AR40" s="297"/>
      <c r="AS40" s="297"/>
      <c r="AT40" s="297"/>
      <c r="AU40" s="297"/>
      <c r="AV40" s="297"/>
      <c r="AW40" s="297"/>
      <c r="AX40" s="297"/>
      <c r="AY40" s="297"/>
      <c r="AZ40" s="297"/>
      <c r="BA40" s="297"/>
      <c r="BB40" s="297"/>
      <c r="BC40" s="297"/>
      <c r="BD40" s="297"/>
      <c r="BE40" s="297"/>
      <c r="BF40" s="297"/>
      <c r="BG40" s="297"/>
      <c r="BH40" s="297"/>
      <c r="BI40" s="297"/>
      <c r="BJ40" s="86"/>
      <c r="BK40" s="86"/>
      <c r="BL40" s="86"/>
      <c r="BM40" s="86"/>
      <c r="BN40" s="295"/>
      <c r="BO40" s="295"/>
      <c r="BP40" s="295"/>
      <c r="BQ40" s="295"/>
      <c r="BR40" s="295"/>
      <c r="BS40" s="295"/>
      <c r="BT40" s="295"/>
      <c r="BU40" s="295"/>
      <c r="BV40" s="295"/>
      <c r="BW40" s="295"/>
      <c r="BX40" s="295"/>
      <c r="BY40" s="295"/>
      <c r="BZ40" s="295"/>
      <c r="CA40" s="295"/>
      <c r="CB40" s="295"/>
      <c r="CC40" s="295"/>
      <c r="CD40" s="295"/>
      <c r="CE40" s="94"/>
      <c r="CF40" s="86"/>
      <c r="CG40" s="86"/>
      <c r="CH40" s="94"/>
      <c r="CI40" s="86"/>
      <c r="CJ40" s="86"/>
      <c r="CK40" s="227" t="s">
        <v>18</v>
      </c>
      <c r="CL40" s="227"/>
      <c r="CM40" s="227"/>
      <c r="CN40" s="227"/>
      <c r="CO40" s="227"/>
      <c r="CP40" s="227"/>
      <c r="CQ40" s="227"/>
      <c r="CR40" s="227"/>
      <c r="CS40" s="227"/>
      <c r="CT40" s="227"/>
      <c r="CU40" s="227"/>
      <c r="CV40" s="227"/>
      <c r="CW40" s="227"/>
      <c r="CX40" s="227"/>
      <c r="CY40" s="227"/>
      <c r="CZ40" s="227"/>
      <c r="DA40" s="94"/>
      <c r="DB40" s="86"/>
      <c r="DC40" s="117"/>
      <c r="DD40" s="86"/>
      <c r="DE40" s="94"/>
      <c r="DF40" s="86"/>
      <c r="DG40" s="216"/>
      <c r="DH40" s="216"/>
      <c r="DI40" s="216"/>
      <c r="DJ40" s="216"/>
      <c r="DK40" s="216"/>
      <c r="DL40" s="216"/>
      <c r="DM40" s="216"/>
      <c r="DN40" s="216"/>
      <c r="DO40" s="216"/>
      <c r="DP40" s="216"/>
      <c r="DQ40" s="216"/>
      <c r="DR40" s="216"/>
      <c r="DS40" s="216"/>
      <c r="DT40" s="216"/>
      <c r="DU40" s="216"/>
      <c r="DV40" s="216"/>
      <c r="DW40" s="216"/>
      <c r="DX40" s="216"/>
      <c r="DY40" s="94"/>
      <c r="DZ40" s="86"/>
      <c r="EA40" s="94"/>
      <c r="EB40" s="94"/>
      <c r="EC40" s="94"/>
      <c r="ED40" s="94"/>
    </row>
    <row r="41" spans="41:134" ht="15" customHeight="1" x14ac:dyDescent="0.3">
      <c r="AO41" s="86"/>
      <c r="AP41" s="86"/>
      <c r="AQ41" s="297"/>
      <c r="AR41" s="297"/>
      <c r="AS41" s="297"/>
      <c r="AT41" s="297"/>
      <c r="AU41" s="297"/>
      <c r="AV41" s="297"/>
      <c r="AW41" s="297"/>
      <c r="AX41" s="297"/>
      <c r="AY41" s="297"/>
      <c r="AZ41" s="297"/>
      <c r="BA41" s="297"/>
      <c r="BB41" s="297"/>
      <c r="BC41" s="297"/>
      <c r="BD41" s="297"/>
      <c r="BE41" s="297"/>
      <c r="BF41" s="297"/>
      <c r="BG41" s="297"/>
      <c r="BH41" s="297"/>
      <c r="BI41" s="297"/>
      <c r="BJ41" s="86"/>
      <c r="BK41" s="86"/>
      <c r="BL41" s="86"/>
      <c r="BM41" s="86"/>
      <c r="BN41" s="295"/>
      <c r="BO41" s="295"/>
      <c r="BP41" s="295"/>
      <c r="BQ41" s="295"/>
      <c r="BR41" s="295"/>
      <c r="BS41" s="295"/>
      <c r="BT41" s="295"/>
      <c r="BU41" s="295"/>
      <c r="BV41" s="295"/>
      <c r="BW41" s="295"/>
      <c r="BX41" s="295"/>
      <c r="BY41" s="295"/>
      <c r="BZ41" s="295"/>
      <c r="CA41" s="295"/>
      <c r="CB41" s="295"/>
      <c r="CC41" s="295"/>
      <c r="CD41" s="295"/>
      <c r="CE41" s="92"/>
      <c r="CF41" s="86"/>
      <c r="CG41" s="86"/>
      <c r="CH41" s="92"/>
      <c r="CI41" s="86"/>
      <c r="CJ41" s="86"/>
      <c r="CK41" s="260"/>
      <c r="CL41" s="261"/>
      <c r="CM41" s="261"/>
      <c r="CN41" s="261"/>
      <c r="CO41" s="261"/>
      <c r="CP41" s="261"/>
      <c r="CQ41" s="261"/>
      <c r="CR41" s="261"/>
      <c r="CS41" s="261"/>
      <c r="CT41" s="261"/>
      <c r="CU41" s="261"/>
      <c r="CV41" s="261"/>
      <c r="CW41" s="261"/>
      <c r="CX41" s="261"/>
      <c r="CY41" s="261"/>
      <c r="CZ41" s="261"/>
      <c r="DA41" s="179"/>
      <c r="DB41" s="86"/>
      <c r="DC41" s="92"/>
      <c r="DD41" s="86"/>
      <c r="DE41" s="92"/>
      <c r="DF41" s="86"/>
      <c r="DG41" s="217"/>
      <c r="DH41" s="217"/>
      <c r="DI41" s="217"/>
      <c r="DJ41" s="217"/>
      <c r="DK41" s="217"/>
      <c r="DL41" s="217"/>
      <c r="DM41" s="217"/>
      <c r="DN41" s="217"/>
      <c r="DO41" s="217"/>
      <c r="DP41" s="217"/>
      <c r="DQ41" s="217"/>
      <c r="DR41" s="217"/>
      <c r="DS41" s="217"/>
      <c r="DT41" s="217"/>
      <c r="DU41" s="217"/>
      <c r="DV41" s="217"/>
      <c r="DW41" s="217"/>
      <c r="DX41" s="217"/>
      <c r="DY41" s="92"/>
      <c r="DZ41" s="86"/>
      <c r="EA41" s="92"/>
      <c r="EB41" s="92"/>
      <c r="EC41" s="92"/>
      <c r="ED41" s="92"/>
    </row>
    <row r="42" spans="41:134" ht="15" customHeight="1" x14ac:dyDescent="0.3">
      <c r="AO42" s="86"/>
      <c r="AP42" s="86"/>
      <c r="AQ42" s="297"/>
      <c r="AR42" s="297"/>
      <c r="AS42" s="297"/>
      <c r="AT42" s="297"/>
      <c r="AU42" s="297"/>
      <c r="AV42" s="297"/>
      <c r="AW42" s="297"/>
      <c r="AX42" s="297"/>
      <c r="AY42" s="297"/>
      <c r="AZ42" s="297"/>
      <c r="BA42" s="297"/>
      <c r="BB42" s="297"/>
      <c r="BC42" s="297"/>
      <c r="BD42" s="297"/>
      <c r="BE42" s="297"/>
      <c r="BF42" s="297"/>
      <c r="BG42" s="297"/>
      <c r="BH42" s="297"/>
      <c r="BI42" s="297"/>
      <c r="BJ42" s="86"/>
      <c r="BK42" s="86"/>
      <c r="BL42" s="86"/>
      <c r="BM42" s="86"/>
      <c r="BN42" s="268"/>
      <c r="BO42" s="268"/>
      <c r="BP42" s="268"/>
      <c r="BQ42" s="268"/>
      <c r="BR42" s="268"/>
      <c r="BS42" s="268"/>
      <c r="BT42" s="268"/>
      <c r="BU42" s="268"/>
      <c r="BV42" s="268"/>
      <c r="BW42" s="268"/>
      <c r="BX42" s="268"/>
      <c r="BY42" s="268"/>
      <c r="BZ42" s="268"/>
      <c r="CA42" s="268"/>
      <c r="CB42" s="268"/>
      <c r="CC42" s="268"/>
      <c r="CD42" s="268"/>
      <c r="CE42" s="92"/>
      <c r="CF42" s="86"/>
      <c r="CG42" s="86"/>
      <c r="CH42" s="92"/>
      <c r="CI42" s="86"/>
      <c r="CJ42" s="86"/>
      <c r="CK42" s="262"/>
      <c r="CL42" s="263"/>
      <c r="CM42" s="263"/>
      <c r="CN42" s="263"/>
      <c r="CO42" s="263"/>
      <c r="CP42" s="263"/>
      <c r="CQ42" s="263"/>
      <c r="CR42" s="263"/>
      <c r="CS42" s="263"/>
      <c r="CT42" s="263"/>
      <c r="CU42" s="263"/>
      <c r="CV42" s="263"/>
      <c r="CW42" s="263"/>
      <c r="CX42" s="263"/>
      <c r="CY42" s="263"/>
      <c r="CZ42" s="263"/>
      <c r="DA42" s="179"/>
      <c r="DB42" s="86"/>
      <c r="DC42" s="92"/>
      <c r="DD42" s="86"/>
      <c r="DE42" s="92"/>
      <c r="DF42" s="86"/>
      <c r="DG42" s="218"/>
      <c r="DH42" s="218"/>
      <c r="DI42" s="218"/>
      <c r="DJ42" s="218"/>
      <c r="DK42" s="218"/>
      <c r="DL42" s="218"/>
      <c r="DM42" s="218"/>
      <c r="DN42" s="218"/>
      <c r="DO42" s="218"/>
      <c r="DP42" s="218"/>
      <c r="DQ42" s="218"/>
      <c r="DR42" s="218"/>
      <c r="DS42" s="218"/>
      <c r="DT42" s="218"/>
      <c r="DU42" s="218"/>
      <c r="DV42" s="218"/>
      <c r="DW42" s="218"/>
      <c r="DX42" s="218"/>
      <c r="DY42" s="92"/>
      <c r="DZ42" s="86"/>
      <c r="EA42" s="92"/>
      <c r="EB42" s="92"/>
      <c r="EC42" s="92"/>
      <c r="ED42" s="92"/>
    </row>
    <row r="43" spans="41:134" ht="15" customHeight="1" thickBot="1" x14ac:dyDescent="0.35">
      <c r="AO43" s="86"/>
      <c r="AP43" s="86"/>
      <c r="AQ43" s="297"/>
      <c r="AR43" s="297"/>
      <c r="AS43" s="297"/>
      <c r="AT43" s="297"/>
      <c r="AU43" s="297"/>
      <c r="AV43" s="297"/>
      <c r="AW43" s="297"/>
      <c r="AX43" s="297"/>
      <c r="AY43" s="297"/>
      <c r="AZ43" s="297"/>
      <c r="BA43" s="297"/>
      <c r="BB43" s="297"/>
      <c r="BC43" s="297"/>
      <c r="BD43" s="297"/>
      <c r="BE43" s="297"/>
      <c r="BF43" s="297"/>
      <c r="BG43" s="297"/>
      <c r="BH43" s="297"/>
      <c r="BI43" s="297"/>
      <c r="BJ43" s="86"/>
      <c r="BK43" s="86"/>
      <c r="BL43" s="86"/>
      <c r="BM43" s="86"/>
      <c r="BN43" s="296"/>
      <c r="BO43" s="296"/>
      <c r="BP43" s="296"/>
      <c r="BQ43" s="296"/>
      <c r="BR43" s="296"/>
      <c r="BS43" s="296"/>
      <c r="BT43" s="296"/>
      <c r="BU43" s="296"/>
      <c r="BV43" s="296"/>
      <c r="BW43" s="296"/>
      <c r="BX43" s="296"/>
      <c r="BY43" s="296"/>
      <c r="BZ43" s="296"/>
      <c r="CA43" s="296"/>
      <c r="CB43" s="296"/>
      <c r="CC43" s="296"/>
      <c r="CD43" s="296"/>
      <c r="CE43" s="94"/>
      <c r="CF43" s="86"/>
      <c r="CG43" s="86"/>
      <c r="CH43" s="94"/>
      <c r="CI43" s="86"/>
      <c r="CJ43" s="86"/>
      <c r="CK43" s="227" t="s">
        <v>19</v>
      </c>
      <c r="CL43" s="227"/>
      <c r="CM43" s="227"/>
      <c r="CN43" s="227"/>
      <c r="CO43" s="227"/>
      <c r="CP43" s="227"/>
      <c r="CQ43" s="227"/>
      <c r="CR43" s="227"/>
      <c r="CS43" s="227"/>
      <c r="CT43" s="227"/>
      <c r="CU43" s="227"/>
      <c r="CV43" s="227"/>
      <c r="CW43" s="227"/>
      <c r="CX43" s="227"/>
      <c r="CY43" s="227"/>
      <c r="CZ43" s="227"/>
      <c r="DA43" s="94"/>
      <c r="DB43" s="86"/>
      <c r="DC43" s="94"/>
      <c r="DD43" s="86"/>
      <c r="DE43" s="94"/>
      <c r="DF43" s="86"/>
      <c r="DG43" s="216"/>
      <c r="DH43" s="216"/>
      <c r="DI43" s="216"/>
      <c r="DJ43" s="216"/>
      <c r="DK43" s="216"/>
      <c r="DL43" s="216"/>
      <c r="DM43" s="216"/>
      <c r="DN43" s="216"/>
      <c r="DO43" s="216"/>
      <c r="DP43" s="216"/>
      <c r="DQ43" s="216"/>
      <c r="DR43" s="216"/>
      <c r="DS43" s="216"/>
      <c r="DT43" s="216"/>
      <c r="DU43" s="216"/>
      <c r="DV43" s="216"/>
      <c r="DW43" s="216"/>
      <c r="DX43" s="216"/>
      <c r="DY43" s="94"/>
      <c r="DZ43" s="86"/>
      <c r="EA43" s="94"/>
      <c r="EB43" s="94"/>
      <c r="EC43" s="94"/>
      <c r="ED43" s="94"/>
    </row>
    <row r="44" spans="41:134" ht="15" customHeight="1" x14ac:dyDescent="0.3">
      <c r="AO44" s="86"/>
      <c r="AP44" s="86"/>
      <c r="AQ44" s="297"/>
      <c r="AR44" s="297"/>
      <c r="AS44" s="297"/>
      <c r="AT44" s="297"/>
      <c r="AU44" s="297"/>
      <c r="AV44" s="297"/>
      <c r="AW44" s="297"/>
      <c r="AX44" s="297"/>
      <c r="AY44" s="297"/>
      <c r="AZ44" s="297"/>
      <c r="BA44" s="297"/>
      <c r="BB44" s="297"/>
      <c r="BC44" s="297"/>
      <c r="BD44" s="297"/>
      <c r="BE44" s="297"/>
      <c r="BF44" s="297"/>
      <c r="BG44" s="297"/>
      <c r="BH44" s="297"/>
      <c r="BI44" s="297"/>
      <c r="BJ44" s="86"/>
      <c r="BK44" s="86"/>
      <c r="BL44" s="86"/>
      <c r="BM44" s="86"/>
      <c r="BN44" s="295"/>
      <c r="BO44" s="295"/>
      <c r="BP44" s="295"/>
      <c r="BQ44" s="295"/>
      <c r="BR44" s="295"/>
      <c r="BS44" s="295"/>
      <c r="BT44" s="295"/>
      <c r="BU44" s="295"/>
      <c r="BV44" s="295"/>
      <c r="BW44" s="295"/>
      <c r="BX44" s="295"/>
      <c r="BY44" s="295"/>
      <c r="BZ44" s="295"/>
      <c r="CA44" s="295"/>
      <c r="CB44" s="295"/>
      <c r="CC44" s="295"/>
      <c r="CD44" s="295"/>
      <c r="CE44" s="92"/>
      <c r="CF44" s="86"/>
      <c r="CG44" s="86"/>
      <c r="CH44" s="92"/>
      <c r="CI44" s="86"/>
      <c r="CJ44" s="86"/>
      <c r="CK44" s="264"/>
      <c r="CL44" s="265"/>
      <c r="CM44" s="265"/>
      <c r="CN44" s="265"/>
      <c r="CO44" s="265"/>
      <c r="CP44" s="265"/>
      <c r="CQ44" s="265"/>
      <c r="CR44" s="265"/>
      <c r="CS44" s="265"/>
      <c r="CT44" s="265"/>
      <c r="CU44" s="265"/>
      <c r="CV44" s="265"/>
      <c r="CW44" s="265"/>
      <c r="CX44" s="265"/>
      <c r="CY44" s="265"/>
      <c r="CZ44" s="265"/>
      <c r="DA44" s="179"/>
      <c r="DB44" s="86"/>
      <c r="DC44" s="92"/>
      <c r="DD44" s="86"/>
      <c r="DE44" s="92"/>
      <c r="DF44" s="86"/>
      <c r="DG44" s="217"/>
      <c r="DH44" s="217"/>
      <c r="DI44" s="217"/>
      <c r="DJ44" s="217"/>
      <c r="DK44" s="217"/>
      <c r="DL44" s="217"/>
      <c r="DM44" s="217"/>
      <c r="DN44" s="217"/>
      <c r="DO44" s="217"/>
      <c r="DP44" s="217"/>
      <c r="DQ44" s="217"/>
      <c r="DR44" s="217"/>
      <c r="DS44" s="217"/>
      <c r="DT44" s="217"/>
      <c r="DU44" s="217"/>
      <c r="DV44" s="217"/>
      <c r="DW44" s="217"/>
      <c r="DX44" s="217"/>
      <c r="DY44" s="92"/>
      <c r="DZ44" s="86"/>
      <c r="EA44" s="92"/>
      <c r="EB44" s="92"/>
      <c r="EC44" s="92"/>
      <c r="ED44" s="92"/>
    </row>
    <row r="45" spans="41:134" ht="15" customHeight="1" x14ac:dyDescent="0.3">
      <c r="AO45" s="86"/>
      <c r="AP45" s="86"/>
      <c r="AQ45" s="297"/>
      <c r="AR45" s="297"/>
      <c r="AS45" s="297"/>
      <c r="AT45" s="297"/>
      <c r="AU45" s="297"/>
      <c r="AV45" s="297"/>
      <c r="AW45" s="297"/>
      <c r="AX45" s="297"/>
      <c r="AY45" s="297"/>
      <c r="AZ45" s="297"/>
      <c r="BA45" s="297"/>
      <c r="BB45" s="297"/>
      <c r="BC45" s="297"/>
      <c r="BD45" s="297"/>
      <c r="BE45" s="297"/>
      <c r="BF45" s="297"/>
      <c r="BG45" s="297"/>
      <c r="BH45" s="297"/>
      <c r="BI45" s="297"/>
      <c r="BJ45" s="86"/>
      <c r="BK45" s="86"/>
      <c r="BL45" s="86"/>
      <c r="BM45" s="86"/>
      <c r="BN45" s="268"/>
      <c r="BO45" s="268"/>
      <c r="BP45" s="268"/>
      <c r="BQ45" s="268"/>
      <c r="BR45" s="268"/>
      <c r="BS45" s="268"/>
      <c r="BT45" s="268"/>
      <c r="BU45" s="268"/>
      <c r="BV45" s="268"/>
      <c r="BW45" s="268"/>
      <c r="BX45" s="268"/>
      <c r="BY45" s="268"/>
      <c r="BZ45" s="268"/>
      <c r="CA45" s="268"/>
      <c r="CB45" s="268"/>
      <c r="CC45" s="268"/>
      <c r="CD45" s="268"/>
      <c r="CE45" s="92"/>
      <c r="CF45" s="86"/>
      <c r="CG45" s="86"/>
      <c r="CH45" s="92"/>
      <c r="CI45" s="86"/>
      <c r="CJ45" s="86"/>
      <c r="CK45" s="267"/>
      <c r="CL45" s="268"/>
      <c r="CM45" s="268"/>
      <c r="CN45" s="268"/>
      <c r="CO45" s="268"/>
      <c r="CP45" s="268"/>
      <c r="CQ45" s="268"/>
      <c r="CR45" s="268"/>
      <c r="CS45" s="268"/>
      <c r="CT45" s="268"/>
      <c r="CU45" s="268"/>
      <c r="CV45" s="268"/>
      <c r="CW45" s="268"/>
      <c r="CX45" s="268"/>
      <c r="CY45" s="268"/>
      <c r="CZ45" s="268"/>
      <c r="DA45" s="179"/>
      <c r="DB45" s="86"/>
      <c r="DC45" s="92"/>
      <c r="DD45" s="86"/>
      <c r="DE45" s="92"/>
      <c r="DF45" s="86"/>
      <c r="DG45" s="218"/>
      <c r="DH45" s="218"/>
      <c r="DI45" s="218"/>
      <c r="DJ45" s="218"/>
      <c r="DK45" s="218"/>
      <c r="DL45" s="218"/>
      <c r="DM45" s="218"/>
      <c r="DN45" s="218"/>
      <c r="DO45" s="218"/>
      <c r="DP45" s="218"/>
      <c r="DQ45" s="218"/>
      <c r="DR45" s="218"/>
      <c r="DS45" s="218"/>
      <c r="DT45" s="218"/>
      <c r="DU45" s="218"/>
      <c r="DV45" s="218"/>
      <c r="DW45" s="218"/>
      <c r="DX45" s="218"/>
      <c r="DY45" s="92"/>
      <c r="DZ45" s="86"/>
      <c r="EA45" s="92"/>
      <c r="EB45" s="92"/>
      <c r="EC45" s="92"/>
      <c r="ED45" s="92"/>
    </row>
    <row r="46" spans="41:134" ht="15" customHeight="1" thickBot="1" x14ac:dyDescent="0.35">
      <c r="AO46" s="86"/>
      <c r="AP46" s="86"/>
      <c r="AQ46" s="297"/>
      <c r="AR46" s="297"/>
      <c r="AS46" s="297"/>
      <c r="AT46" s="297"/>
      <c r="AU46" s="297"/>
      <c r="AV46" s="297"/>
      <c r="AW46" s="297"/>
      <c r="AX46" s="297"/>
      <c r="AY46" s="297"/>
      <c r="AZ46" s="297"/>
      <c r="BA46" s="297"/>
      <c r="BB46" s="297"/>
      <c r="BC46" s="297"/>
      <c r="BD46" s="297"/>
      <c r="BE46" s="297"/>
      <c r="BF46" s="297"/>
      <c r="BG46" s="297"/>
      <c r="BH46" s="297"/>
      <c r="BI46" s="297"/>
      <c r="BJ46" s="86"/>
      <c r="BK46" s="86"/>
      <c r="BL46" s="86"/>
      <c r="BM46" s="86"/>
      <c r="BN46" s="207"/>
      <c r="BO46" s="207"/>
      <c r="BP46" s="207"/>
      <c r="BQ46" s="207"/>
      <c r="BR46" s="207"/>
      <c r="BS46" s="207"/>
      <c r="BT46" s="207"/>
      <c r="BU46" s="207"/>
      <c r="BV46" s="207"/>
      <c r="BW46" s="207"/>
      <c r="BX46" s="207"/>
      <c r="BY46" s="207"/>
      <c r="BZ46" s="207"/>
      <c r="CA46" s="207"/>
      <c r="CB46" s="207"/>
      <c r="CC46" s="207"/>
      <c r="CD46" s="207"/>
      <c r="CE46" s="92"/>
      <c r="CF46" s="86"/>
      <c r="CG46" s="86"/>
      <c r="CH46" s="92"/>
      <c r="CI46" s="86"/>
      <c r="CJ46" s="86"/>
      <c r="CK46" s="227" t="s">
        <v>20</v>
      </c>
      <c r="CL46" s="227"/>
      <c r="CM46" s="227"/>
      <c r="CN46" s="227"/>
      <c r="CO46" s="227"/>
      <c r="CP46" s="227"/>
      <c r="CQ46" s="227"/>
      <c r="CR46" s="227"/>
      <c r="CS46" s="227"/>
      <c r="CT46" s="227"/>
      <c r="CU46" s="227"/>
      <c r="CV46" s="227"/>
      <c r="CW46" s="227"/>
      <c r="CX46" s="227"/>
      <c r="CY46" s="227"/>
      <c r="CZ46" s="227"/>
      <c r="DA46" s="92"/>
      <c r="DB46" s="86"/>
      <c r="DC46" s="92"/>
      <c r="DD46" s="86"/>
      <c r="DE46" s="92"/>
      <c r="DF46" s="86"/>
      <c r="DG46" s="210" t="s">
        <v>21</v>
      </c>
      <c r="DH46" s="210"/>
      <c r="DI46" s="210"/>
      <c r="DJ46" s="210"/>
      <c r="DK46" s="210"/>
      <c r="DL46" s="210"/>
      <c r="DM46" s="210"/>
      <c r="DN46" s="210"/>
      <c r="DO46" s="211"/>
      <c r="DP46" s="219">
        <v>0</v>
      </c>
      <c r="DQ46" s="220"/>
      <c r="DR46" s="220"/>
      <c r="DS46" s="220"/>
      <c r="DT46" s="220"/>
      <c r="DU46" s="220"/>
      <c r="DV46" s="220"/>
      <c r="DW46" s="220"/>
      <c r="DX46" s="221"/>
      <c r="DY46" s="92"/>
      <c r="DZ46" s="86"/>
      <c r="EA46" s="92"/>
      <c r="EB46" s="92"/>
      <c r="EC46" s="92"/>
      <c r="ED46" s="92"/>
    </row>
    <row r="47" spans="41:134" ht="15" customHeight="1" x14ac:dyDescent="0.3">
      <c r="AO47" s="86"/>
      <c r="AP47" s="86"/>
      <c r="AQ47" s="297"/>
      <c r="AR47" s="297"/>
      <c r="AS47" s="297"/>
      <c r="AT47" s="297"/>
      <c r="AU47" s="297"/>
      <c r="AV47" s="297"/>
      <c r="AW47" s="297"/>
      <c r="AX47" s="297"/>
      <c r="AY47" s="297"/>
      <c r="AZ47" s="297"/>
      <c r="BA47" s="297"/>
      <c r="BB47" s="297"/>
      <c r="BC47" s="297"/>
      <c r="BD47" s="297"/>
      <c r="BE47" s="297"/>
      <c r="BF47" s="297"/>
      <c r="BG47" s="297"/>
      <c r="BH47" s="297"/>
      <c r="BI47" s="297"/>
      <c r="BJ47" s="86"/>
      <c r="BK47" s="86"/>
      <c r="BL47" s="86"/>
      <c r="BM47" s="86"/>
      <c r="BN47" s="208"/>
      <c r="BO47" s="208"/>
      <c r="BP47" s="208"/>
      <c r="BQ47" s="208"/>
      <c r="BR47" s="208"/>
      <c r="BS47" s="208"/>
      <c r="BT47" s="208"/>
      <c r="BU47" s="208"/>
      <c r="BV47" s="208"/>
      <c r="BW47" s="208"/>
      <c r="BX47" s="208"/>
      <c r="BY47" s="208"/>
      <c r="BZ47" s="208"/>
      <c r="CA47" s="208"/>
      <c r="CB47" s="208"/>
      <c r="CC47" s="208"/>
      <c r="CD47" s="208"/>
      <c r="CE47" s="92"/>
      <c r="CF47" s="86"/>
      <c r="CG47" s="86"/>
      <c r="CH47" s="92"/>
      <c r="CI47" s="86"/>
      <c r="CJ47" s="86"/>
      <c r="CK47" s="264"/>
      <c r="CL47" s="265"/>
      <c r="CM47" s="265"/>
      <c r="CN47" s="265"/>
      <c r="CO47" s="265"/>
      <c r="CP47" s="265"/>
      <c r="CQ47" s="265"/>
      <c r="CR47" s="265"/>
      <c r="CS47" s="265"/>
      <c r="CT47" s="265"/>
      <c r="CU47" s="265"/>
      <c r="CV47" s="265"/>
      <c r="CW47" s="265"/>
      <c r="CX47" s="265"/>
      <c r="CY47" s="265"/>
      <c r="CZ47" s="266"/>
      <c r="DA47" s="92"/>
      <c r="DB47" s="86"/>
      <c r="DC47" s="92"/>
      <c r="DD47" s="86"/>
      <c r="DE47" s="92"/>
      <c r="DF47" s="86"/>
      <c r="DG47" s="212"/>
      <c r="DH47" s="212"/>
      <c r="DI47" s="212"/>
      <c r="DJ47" s="212"/>
      <c r="DK47" s="212"/>
      <c r="DL47" s="212"/>
      <c r="DM47" s="212"/>
      <c r="DN47" s="212"/>
      <c r="DO47" s="213"/>
      <c r="DP47" s="219"/>
      <c r="DQ47" s="220"/>
      <c r="DR47" s="220"/>
      <c r="DS47" s="220"/>
      <c r="DT47" s="220"/>
      <c r="DU47" s="220"/>
      <c r="DV47" s="220"/>
      <c r="DW47" s="220"/>
      <c r="DX47" s="221"/>
      <c r="DY47" s="92"/>
      <c r="DZ47" s="86"/>
      <c r="EA47" s="92"/>
      <c r="EB47" s="92"/>
      <c r="EC47" s="92"/>
      <c r="ED47" s="92"/>
    </row>
    <row r="48" spans="41:134" ht="15" customHeight="1" x14ac:dyDescent="0.3">
      <c r="AO48" s="86"/>
      <c r="AP48" s="86"/>
      <c r="AQ48" s="297"/>
      <c r="AR48" s="297"/>
      <c r="AS48" s="297"/>
      <c r="AT48" s="297"/>
      <c r="AU48" s="297"/>
      <c r="AV48" s="297"/>
      <c r="AW48" s="297"/>
      <c r="AX48" s="297"/>
      <c r="AY48" s="297"/>
      <c r="AZ48" s="297"/>
      <c r="BA48" s="297"/>
      <c r="BB48" s="297"/>
      <c r="BC48" s="297"/>
      <c r="BD48" s="297"/>
      <c r="BE48" s="297"/>
      <c r="BF48" s="297"/>
      <c r="BG48" s="297"/>
      <c r="BH48" s="297"/>
      <c r="BI48" s="297"/>
      <c r="BJ48" s="86"/>
      <c r="BK48" s="86"/>
      <c r="BL48" s="86"/>
      <c r="BM48" s="86"/>
      <c r="BN48" s="209"/>
      <c r="BO48" s="209"/>
      <c r="BP48" s="209"/>
      <c r="BQ48" s="209"/>
      <c r="BR48" s="209"/>
      <c r="BS48" s="209"/>
      <c r="BT48" s="209"/>
      <c r="BU48" s="209"/>
      <c r="BV48" s="209"/>
      <c r="BW48" s="209"/>
      <c r="BX48" s="209"/>
      <c r="BY48" s="209"/>
      <c r="BZ48" s="209"/>
      <c r="CA48" s="209"/>
      <c r="CB48" s="209"/>
      <c r="CC48" s="209"/>
      <c r="CD48" s="209"/>
      <c r="CE48" s="92"/>
      <c r="CF48" s="86"/>
      <c r="CG48" s="86"/>
      <c r="CH48" s="92"/>
      <c r="CI48" s="86"/>
      <c r="CJ48" s="86"/>
      <c r="CK48" s="267"/>
      <c r="CL48" s="268"/>
      <c r="CM48" s="268"/>
      <c r="CN48" s="268"/>
      <c r="CO48" s="268"/>
      <c r="CP48" s="268"/>
      <c r="CQ48" s="268"/>
      <c r="CR48" s="268"/>
      <c r="CS48" s="268"/>
      <c r="CT48" s="268"/>
      <c r="CU48" s="268"/>
      <c r="CV48" s="268"/>
      <c r="CW48" s="268"/>
      <c r="CX48" s="268"/>
      <c r="CY48" s="268"/>
      <c r="CZ48" s="269"/>
      <c r="DA48" s="92"/>
      <c r="DB48" s="86"/>
      <c r="DC48" s="92"/>
      <c r="DD48" s="86"/>
      <c r="DE48" s="92"/>
      <c r="DF48" s="86"/>
      <c r="DG48" s="214"/>
      <c r="DH48" s="214"/>
      <c r="DI48" s="214"/>
      <c r="DJ48" s="214"/>
      <c r="DK48" s="214"/>
      <c r="DL48" s="214"/>
      <c r="DM48" s="214"/>
      <c r="DN48" s="214"/>
      <c r="DO48" s="215"/>
      <c r="DP48" s="222"/>
      <c r="DQ48" s="223"/>
      <c r="DR48" s="223"/>
      <c r="DS48" s="223"/>
      <c r="DT48" s="223"/>
      <c r="DU48" s="223"/>
      <c r="DV48" s="223"/>
      <c r="DW48" s="223"/>
      <c r="DX48" s="224"/>
      <c r="DY48" s="92"/>
      <c r="DZ48" s="86"/>
      <c r="EA48" s="92"/>
      <c r="EB48" s="92"/>
      <c r="EC48" s="92"/>
      <c r="ED48" s="92"/>
    </row>
    <row r="49" spans="41:134" ht="15" customHeight="1" x14ac:dyDescent="0.3">
      <c r="AO49" s="86"/>
      <c r="AP49" s="86"/>
      <c r="AQ49" s="86"/>
      <c r="AR49" s="86"/>
      <c r="AS49" s="86"/>
      <c r="AT49" s="86"/>
      <c r="AU49" s="86"/>
      <c r="AV49" s="86"/>
      <c r="AW49" s="86"/>
      <c r="AX49" s="86"/>
      <c r="AY49" s="86"/>
      <c r="AZ49" s="86"/>
      <c r="BA49" s="86"/>
      <c r="BB49" s="86"/>
      <c r="BC49" s="86"/>
      <c r="BD49" s="86"/>
      <c r="BE49" s="86"/>
      <c r="BF49" s="86"/>
      <c r="BG49" s="86"/>
      <c r="BH49" s="86"/>
      <c r="BI49" s="86"/>
      <c r="BJ49" s="86"/>
      <c r="BK49" s="86"/>
      <c r="BL49" s="86"/>
      <c r="BM49" s="86"/>
      <c r="BN49" s="86"/>
      <c r="BO49" s="86"/>
      <c r="BP49" s="86"/>
      <c r="BQ49" s="86"/>
      <c r="BR49" s="86"/>
      <c r="BS49" s="86"/>
      <c r="BT49" s="86"/>
      <c r="BU49" s="86"/>
      <c r="BV49" s="86"/>
      <c r="BW49" s="86"/>
      <c r="BX49" s="86"/>
      <c r="BY49" s="86"/>
      <c r="BZ49" s="86"/>
      <c r="CA49" s="86"/>
      <c r="CB49" s="86"/>
      <c r="CC49" s="86"/>
      <c r="CD49" s="86"/>
      <c r="CE49" s="86"/>
      <c r="CF49" s="86"/>
      <c r="CG49" s="86"/>
      <c r="CH49" s="86"/>
      <c r="CI49" s="86"/>
      <c r="CJ49" s="86"/>
      <c r="CK49" s="86"/>
      <c r="CL49" s="86"/>
      <c r="CM49" s="86"/>
      <c r="CN49" s="86"/>
      <c r="CO49" s="86"/>
      <c r="CP49" s="86"/>
      <c r="CQ49" s="86"/>
      <c r="CR49" s="86"/>
      <c r="CS49" s="86"/>
      <c r="CT49" s="86"/>
      <c r="CU49" s="86"/>
      <c r="CV49" s="86"/>
      <c r="CW49" s="86"/>
      <c r="CX49" s="86"/>
      <c r="CY49" s="86"/>
      <c r="CZ49" s="86"/>
      <c r="DA49" s="86"/>
      <c r="DB49" s="86"/>
      <c r="DC49" s="86"/>
      <c r="DD49" s="86"/>
      <c r="DE49" s="86"/>
      <c r="DF49" s="86"/>
      <c r="DG49" s="86"/>
      <c r="DH49" s="86"/>
      <c r="DI49" s="86"/>
      <c r="DJ49" s="86"/>
      <c r="DK49" s="86"/>
      <c r="DL49" s="86"/>
      <c r="DM49" s="86"/>
      <c r="DN49" s="86"/>
      <c r="DO49" s="86"/>
      <c r="DP49" s="86"/>
      <c r="DQ49" s="86"/>
      <c r="DR49" s="86"/>
      <c r="DS49" s="86"/>
      <c r="DT49" s="86"/>
      <c r="DU49" s="86"/>
      <c r="DV49" s="86"/>
      <c r="DW49" s="86"/>
      <c r="DX49" s="86"/>
      <c r="DY49" s="86"/>
      <c r="DZ49" s="86"/>
      <c r="EA49" s="86"/>
      <c r="EB49" s="86"/>
      <c r="EC49" s="86"/>
      <c r="ED49" s="86"/>
    </row>
    <row r="50" spans="41:134" ht="5.0999999999999996" customHeight="1" x14ac:dyDescent="0.3">
      <c r="AO50" s="95"/>
      <c r="AP50" s="95"/>
      <c r="AQ50" s="95"/>
      <c r="AR50" s="95"/>
      <c r="AS50" s="95"/>
      <c r="AT50" s="95"/>
      <c r="AU50" s="95"/>
      <c r="AV50" s="95"/>
      <c r="AW50" s="95"/>
      <c r="AX50" s="95"/>
      <c r="AY50" s="95"/>
      <c r="AZ50" s="95"/>
      <c r="BA50" s="95"/>
      <c r="BB50" s="95"/>
      <c r="BC50" s="95"/>
      <c r="BD50" s="95"/>
      <c r="BE50" s="95"/>
      <c r="BF50" s="95"/>
      <c r="BG50" s="95"/>
      <c r="BH50" s="95"/>
      <c r="BI50" s="95"/>
      <c r="BJ50" s="95"/>
      <c r="BK50" s="95"/>
      <c r="BL50" s="95"/>
      <c r="BM50" s="95"/>
      <c r="BN50" s="95"/>
      <c r="BO50" s="95"/>
      <c r="BP50" s="95"/>
      <c r="BQ50" s="95"/>
      <c r="BR50" s="95"/>
      <c r="BS50" s="95"/>
      <c r="BT50" s="140"/>
      <c r="BU50" s="140"/>
      <c r="BV50" s="140"/>
      <c r="BW50" s="140"/>
      <c r="BX50" s="140"/>
      <c r="BY50" s="140"/>
      <c r="BZ50" s="116"/>
      <c r="CA50" s="116"/>
      <c r="CB50" s="116"/>
      <c r="CC50" s="116"/>
      <c r="CD50" s="116"/>
      <c r="CE50" s="116"/>
      <c r="CF50" s="116"/>
      <c r="CG50" s="116"/>
      <c r="CH50" s="116"/>
      <c r="CI50" s="116"/>
      <c r="CJ50" s="116"/>
      <c r="CK50" s="116"/>
      <c r="CL50" s="116"/>
      <c r="CM50" s="116"/>
      <c r="CN50" s="116"/>
      <c r="CO50" s="116"/>
      <c r="CP50" s="116"/>
      <c r="CQ50" s="116"/>
      <c r="CR50" s="95"/>
      <c r="CS50" s="95"/>
      <c r="CT50" s="95"/>
      <c r="CU50" s="95"/>
      <c r="CV50" s="95"/>
      <c r="CW50" s="95"/>
      <c r="CX50" s="95"/>
      <c r="CY50" s="95"/>
      <c r="CZ50" s="116"/>
      <c r="DA50" s="116"/>
      <c r="DB50" s="116"/>
      <c r="DC50" s="116"/>
      <c r="DD50" s="116"/>
      <c r="DE50" s="116"/>
      <c r="DF50" s="116"/>
      <c r="DG50" s="116"/>
      <c r="DH50" s="116"/>
      <c r="DI50" s="116"/>
      <c r="DJ50" s="116"/>
      <c r="DK50" s="116"/>
      <c r="DL50" s="116"/>
      <c r="DM50" s="116"/>
      <c r="DN50" s="116"/>
      <c r="DO50" s="116"/>
      <c r="DP50" s="116"/>
      <c r="DQ50" s="116"/>
      <c r="DR50" s="95"/>
      <c r="DS50" s="95"/>
      <c r="DT50" s="95"/>
      <c r="DU50" s="95"/>
      <c r="DV50" s="95"/>
      <c r="DW50" s="95"/>
      <c r="DX50" s="95"/>
      <c r="DY50" s="95"/>
      <c r="DZ50" s="95"/>
      <c r="EA50" s="95"/>
      <c r="EB50" s="95"/>
      <c r="EC50" s="95"/>
      <c r="ED50" s="95"/>
    </row>
    <row r="51" spans="41:134" ht="15" customHeight="1" x14ac:dyDescent="0.3">
      <c r="AO51" s="95"/>
      <c r="AP51" s="95"/>
      <c r="AQ51" s="246" t="s">
        <v>22</v>
      </c>
      <c r="AR51" s="246"/>
      <c r="AS51" s="246"/>
      <c r="AT51" s="246"/>
      <c r="AU51" s="246"/>
      <c r="AV51" s="246"/>
      <c r="AW51" s="246"/>
      <c r="AX51" s="246"/>
      <c r="AY51" s="246"/>
      <c r="AZ51" s="246"/>
      <c r="BA51" s="246"/>
      <c r="BB51" s="246"/>
      <c r="BC51" s="246"/>
      <c r="BD51" s="246"/>
      <c r="BE51" s="246"/>
      <c r="BF51" s="246"/>
      <c r="BG51" s="246"/>
      <c r="BH51" s="246"/>
      <c r="BI51" s="246"/>
      <c r="BJ51" s="246"/>
      <c r="BK51" s="246"/>
      <c r="BL51" s="246"/>
      <c r="BM51" s="246"/>
      <c r="BN51" s="246"/>
      <c r="BO51" s="246"/>
      <c r="BP51" s="249" t="s">
        <v>23</v>
      </c>
      <c r="BQ51" s="249"/>
      <c r="BR51" s="249"/>
      <c r="BS51" s="249"/>
      <c r="BT51" s="249"/>
      <c r="BU51" s="249"/>
      <c r="BV51" s="249"/>
      <c r="BW51" s="249"/>
      <c r="BX51" s="249"/>
      <c r="BY51" s="250"/>
      <c r="BZ51" s="247">
        <v>0</v>
      </c>
      <c r="CA51" s="247"/>
      <c r="CB51" s="247"/>
      <c r="CC51" s="247"/>
      <c r="CD51" s="247"/>
      <c r="CE51" s="247"/>
      <c r="CF51" s="247"/>
      <c r="CG51" s="247"/>
      <c r="CH51" s="247"/>
      <c r="CI51" s="247"/>
      <c r="CJ51" s="247"/>
      <c r="CK51" s="247"/>
      <c r="CL51" s="247"/>
      <c r="CM51" s="247"/>
      <c r="CN51" s="247"/>
      <c r="CO51" s="247"/>
      <c r="CP51" s="247"/>
      <c r="CQ51" s="247"/>
      <c r="CR51" s="95"/>
      <c r="CS51" s="95"/>
      <c r="CT51" s="141"/>
      <c r="CU51" s="312" t="s">
        <v>24</v>
      </c>
      <c r="CV51" s="312"/>
      <c r="CW51" s="312"/>
      <c r="CX51" s="312"/>
      <c r="CY51" s="312"/>
      <c r="CZ51" s="312"/>
      <c r="DA51" s="312"/>
      <c r="DB51" s="312"/>
      <c r="DC51" s="313"/>
      <c r="DD51" s="309">
        <f>IF(Calculator!D56 = TRUE, IF(Calculator!G31 = TRUE, _xlfn.FLOOR.MATH(BZ51*(1-DD58),1), IF(Calculator!H31 = TRUE,'Loan Options Sheet'!BZ51-'Loan Options Sheet'!DK58, BZ51)),0)</f>
        <v>0</v>
      </c>
      <c r="DE51" s="309"/>
      <c r="DF51" s="309"/>
      <c r="DG51" s="309"/>
      <c r="DH51" s="309"/>
      <c r="DI51" s="309"/>
      <c r="DJ51" s="309"/>
      <c r="DK51" s="309"/>
      <c r="DL51" s="309"/>
      <c r="DM51" s="309"/>
      <c r="DN51" s="309"/>
      <c r="DO51" s="309"/>
      <c r="DP51" s="309"/>
      <c r="DQ51" s="309"/>
      <c r="DR51" s="309"/>
      <c r="DS51" s="309"/>
      <c r="DT51" s="309"/>
      <c r="DU51" s="309"/>
      <c r="DV51" s="95"/>
      <c r="DW51" s="95"/>
      <c r="DX51" s="95"/>
      <c r="DY51" s="95"/>
      <c r="DZ51" s="95"/>
      <c r="EA51" s="95"/>
      <c r="EB51" s="95"/>
      <c r="EC51" s="95"/>
      <c r="ED51" s="95"/>
    </row>
    <row r="52" spans="41:134" ht="15" customHeight="1" x14ac:dyDescent="0.3">
      <c r="AO52" s="95"/>
      <c r="AP52" s="95"/>
      <c r="AQ52" s="246"/>
      <c r="AR52" s="246"/>
      <c r="AS52" s="246"/>
      <c r="AT52" s="246"/>
      <c r="AU52" s="246"/>
      <c r="AV52" s="246"/>
      <c r="AW52" s="246"/>
      <c r="AX52" s="246"/>
      <c r="AY52" s="246"/>
      <c r="AZ52" s="246"/>
      <c r="BA52" s="246"/>
      <c r="BB52" s="246"/>
      <c r="BC52" s="246"/>
      <c r="BD52" s="246"/>
      <c r="BE52" s="246"/>
      <c r="BF52" s="246"/>
      <c r="BG52" s="246"/>
      <c r="BH52" s="246"/>
      <c r="BI52" s="246"/>
      <c r="BJ52" s="246"/>
      <c r="BK52" s="246"/>
      <c r="BL52" s="246"/>
      <c r="BM52" s="246"/>
      <c r="BN52" s="246"/>
      <c r="BO52" s="246"/>
      <c r="BP52" s="251"/>
      <c r="BQ52" s="251"/>
      <c r="BR52" s="251"/>
      <c r="BS52" s="251"/>
      <c r="BT52" s="251"/>
      <c r="BU52" s="251"/>
      <c r="BV52" s="251"/>
      <c r="BW52" s="251"/>
      <c r="BX52" s="251"/>
      <c r="BY52" s="252"/>
      <c r="BZ52" s="248"/>
      <c r="CA52" s="248"/>
      <c r="CB52" s="248"/>
      <c r="CC52" s="248"/>
      <c r="CD52" s="248"/>
      <c r="CE52" s="248"/>
      <c r="CF52" s="248"/>
      <c r="CG52" s="248"/>
      <c r="CH52" s="248"/>
      <c r="CI52" s="248"/>
      <c r="CJ52" s="248"/>
      <c r="CK52" s="248"/>
      <c r="CL52" s="248"/>
      <c r="CM52" s="248"/>
      <c r="CN52" s="248"/>
      <c r="CO52" s="248"/>
      <c r="CP52" s="248"/>
      <c r="CQ52" s="248"/>
      <c r="CR52" s="95"/>
      <c r="CS52" s="95"/>
      <c r="CT52" s="141"/>
      <c r="CU52" s="314"/>
      <c r="CV52" s="314"/>
      <c r="CW52" s="314"/>
      <c r="CX52" s="314"/>
      <c r="CY52" s="314"/>
      <c r="CZ52" s="314"/>
      <c r="DA52" s="314"/>
      <c r="DB52" s="314"/>
      <c r="DC52" s="315"/>
      <c r="DD52" s="310"/>
      <c r="DE52" s="310"/>
      <c r="DF52" s="310"/>
      <c r="DG52" s="310"/>
      <c r="DH52" s="310"/>
      <c r="DI52" s="310"/>
      <c r="DJ52" s="310"/>
      <c r="DK52" s="310"/>
      <c r="DL52" s="310"/>
      <c r="DM52" s="310"/>
      <c r="DN52" s="310"/>
      <c r="DO52" s="310"/>
      <c r="DP52" s="310"/>
      <c r="DQ52" s="310"/>
      <c r="DR52" s="310"/>
      <c r="DS52" s="310"/>
      <c r="DT52" s="310"/>
      <c r="DU52" s="310"/>
      <c r="DV52" s="95"/>
      <c r="DW52" s="95"/>
      <c r="DX52" s="95"/>
      <c r="DY52" s="95"/>
      <c r="DZ52" s="95"/>
      <c r="EA52" s="95"/>
      <c r="EB52" s="95"/>
      <c r="EC52" s="95"/>
      <c r="ED52" s="95"/>
    </row>
    <row r="53" spans="41:134" ht="20.100000000000001" customHeight="1" x14ac:dyDescent="0.3">
      <c r="AO53" s="95"/>
      <c r="AP53" s="95"/>
      <c r="AQ53" s="95"/>
      <c r="AR53" s="95"/>
      <c r="AS53" s="95"/>
      <c r="AT53" s="95"/>
      <c r="AU53" s="95"/>
      <c r="AV53" s="95"/>
      <c r="AW53" s="95"/>
      <c r="AX53" s="95"/>
      <c r="AY53" s="95"/>
      <c r="AZ53" s="95"/>
      <c r="BA53" s="95"/>
      <c r="BB53" s="95"/>
      <c r="BC53" s="95"/>
      <c r="BD53" s="95"/>
      <c r="BE53" s="95"/>
      <c r="BF53" s="95"/>
      <c r="BG53" s="95"/>
      <c r="BH53" s="95"/>
      <c r="BI53" s="95"/>
      <c r="BJ53" s="95"/>
      <c r="BK53" s="95"/>
      <c r="BL53" s="95"/>
      <c r="BM53" s="95"/>
      <c r="BN53" s="95"/>
      <c r="BO53" s="95"/>
      <c r="BP53" s="95"/>
      <c r="BQ53" s="95"/>
      <c r="BR53" s="95"/>
      <c r="BS53" s="95"/>
      <c r="BT53" s="197" t="s">
        <v>25</v>
      </c>
      <c r="BU53" s="197"/>
      <c r="BV53" s="197"/>
      <c r="BW53" s="197"/>
      <c r="BX53" s="197"/>
      <c r="BY53" s="197"/>
      <c r="BZ53" s="197"/>
      <c r="CA53" s="197"/>
      <c r="CB53" s="197"/>
      <c r="CC53" s="197"/>
      <c r="CD53" s="197"/>
      <c r="CE53" s="197"/>
      <c r="CF53" s="197"/>
      <c r="CG53" s="197"/>
      <c r="CH53" s="198">
        <v>0</v>
      </c>
      <c r="CI53" s="198"/>
      <c r="CJ53" s="198"/>
      <c r="CK53" s="198"/>
      <c r="CL53" s="198"/>
      <c r="CM53" s="198"/>
      <c r="CN53" s="198"/>
      <c r="CO53" s="198"/>
      <c r="CP53" s="198"/>
      <c r="CQ53" s="198"/>
      <c r="CR53" s="95"/>
      <c r="CS53" s="95"/>
      <c r="CT53" s="95"/>
      <c r="CU53" s="95"/>
      <c r="CV53" s="95"/>
      <c r="CW53" s="95"/>
      <c r="CX53" s="95"/>
      <c r="CY53" s="95"/>
      <c r="CZ53" s="95"/>
      <c r="DA53" s="95"/>
      <c r="DB53" s="95"/>
      <c r="DC53" s="95"/>
      <c r="DD53" s="137"/>
      <c r="DE53" s="137"/>
      <c r="DF53" s="137"/>
      <c r="DG53" s="137"/>
      <c r="DH53" s="137"/>
      <c r="DI53" s="137"/>
      <c r="DJ53" s="137"/>
      <c r="DK53" s="137"/>
      <c r="DL53" s="137"/>
      <c r="DM53" s="137"/>
      <c r="DN53" s="137"/>
      <c r="DO53" s="137"/>
      <c r="DP53" s="137"/>
      <c r="DQ53" s="137"/>
      <c r="DR53" s="137"/>
      <c r="DS53" s="137"/>
      <c r="DT53" s="137"/>
      <c r="DU53" s="137"/>
      <c r="DV53" s="95"/>
      <c r="DW53" s="95"/>
      <c r="DX53" s="95"/>
      <c r="DY53" s="95"/>
      <c r="DZ53" s="95"/>
      <c r="EA53" s="95"/>
      <c r="EB53" s="95"/>
      <c r="EC53" s="95"/>
      <c r="ED53" s="95"/>
    </row>
    <row r="54" spans="41:134" ht="20.100000000000001" customHeight="1" x14ac:dyDescent="0.3">
      <c r="AO54" s="95"/>
      <c r="AP54" s="95"/>
      <c r="AQ54" s="95"/>
      <c r="AR54" s="95"/>
      <c r="AS54" s="95"/>
      <c r="AT54" s="95"/>
      <c r="AU54" s="95"/>
      <c r="AV54" s="95"/>
      <c r="AW54" s="95"/>
      <c r="AX54" s="95"/>
      <c r="AY54" s="95"/>
      <c r="AZ54" s="95"/>
      <c r="BA54" s="95"/>
      <c r="BB54" s="95"/>
      <c r="BC54" s="95"/>
      <c r="BD54" s="95"/>
      <c r="BE54" s="95"/>
      <c r="BF54" s="95"/>
      <c r="BG54" s="95"/>
      <c r="BH54" s="95"/>
      <c r="BI54" s="95"/>
      <c r="BJ54" s="95"/>
      <c r="BK54" s="95"/>
      <c r="BL54" s="95"/>
      <c r="BM54" s="95"/>
      <c r="BN54" s="95"/>
      <c r="BO54" s="95"/>
      <c r="BP54" s="95"/>
      <c r="BQ54" s="95"/>
      <c r="BR54" s="95"/>
      <c r="BS54" s="95"/>
      <c r="BT54" s="197" t="s">
        <v>26</v>
      </c>
      <c r="BU54" s="197"/>
      <c r="BV54" s="197"/>
      <c r="BW54" s="197"/>
      <c r="BX54" s="197"/>
      <c r="BY54" s="197"/>
      <c r="BZ54" s="197"/>
      <c r="CA54" s="197"/>
      <c r="CB54" s="197"/>
      <c r="CC54" s="197"/>
      <c r="CD54" s="197"/>
      <c r="CE54" s="197"/>
      <c r="CF54" s="197"/>
      <c r="CG54" s="197"/>
      <c r="CH54" s="305">
        <v>0</v>
      </c>
      <c r="CI54" s="198"/>
      <c r="CJ54" s="198"/>
      <c r="CK54" s="198"/>
      <c r="CL54" s="198"/>
      <c r="CM54" s="198"/>
      <c r="CN54" s="198"/>
      <c r="CO54" s="198"/>
      <c r="CP54" s="198"/>
      <c r="CQ54" s="306"/>
      <c r="CR54" s="95"/>
      <c r="CS54" s="95"/>
      <c r="CT54" s="95"/>
      <c r="CU54" s="95"/>
      <c r="CV54" s="95"/>
      <c r="CW54" s="95"/>
      <c r="CX54" s="95"/>
      <c r="CY54" s="95"/>
      <c r="CZ54" s="95"/>
      <c r="DA54" s="95"/>
      <c r="DB54" s="95"/>
      <c r="DC54" s="95"/>
      <c r="DD54" s="95"/>
      <c r="DE54" s="95"/>
      <c r="DF54" s="95"/>
      <c r="DG54" s="95"/>
      <c r="DH54" s="95"/>
      <c r="DI54" s="95"/>
      <c r="DJ54" s="95"/>
      <c r="DK54" s="95"/>
      <c r="DL54" s="95"/>
      <c r="DM54" s="95"/>
      <c r="DN54" s="95"/>
      <c r="DO54" s="95"/>
      <c r="DP54" s="95"/>
      <c r="DQ54" s="95"/>
      <c r="DR54" s="95"/>
      <c r="DS54" s="95"/>
      <c r="DT54" s="95"/>
      <c r="DU54" s="95"/>
      <c r="DV54" s="95"/>
      <c r="DW54" s="95"/>
      <c r="DX54" s="95"/>
      <c r="DY54" s="95"/>
      <c r="DZ54" s="95"/>
      <c r="EA54" s="95"/>
      <c r="EB54" s="95"/>
      <c r="EC54" s="95"/>
      <c r="ED54" s="95"/>
    </row>
    <row r="55" spans="41:134" ht="20.100000000000001" customHeight="1" x14ac:dyDescent="0.3">
      <c r="AO55" s="95"/>
      <c r="AP55" s="95"/>
      <c r="AQ55" s="95"/>
      <c r="AR55" s="95"/>
      <c r="AS55" s="95"/>
      <c r="AT55" s="95"/>
      <c r="AU55" s="95"/>
      <c r="AV55" s="95"/>
      <c r="AW55" s="95"/>
      <c r="AX55" s="95"/>
      <c r="AY55" s="95"/>
      <c r="AZ55" s="95"/>
      <c r="BA55" s="95"/>
      <c r="BB55" s="95"/>
      <c r="BC55" s="95"/>
      <c r="BD55" s="95"/>
      <c r="BE55" s="95"/>
      <c r="BF55" s="95"/>
      <c r="BG55" s="95"/>
      <c r="BH55" s="95"/>
      <c r="BI55" s="95"/>
      <c r="BJ55" s="95"/>
      <c r="BK55" s="95"/>
      <c r="BL55" s="95"/>
      <c r="BM55" s="95"/>
      <c r="BN55" s="95"/>
      <c r="BO55" s="95"/>
      <c r="BP55" s="95"/>
      <c r="BQ55" s="95"/>
      <c r="BR55" s="95"/>
      <c r="BS55" s="95"/>
      <c r="BT55" s="197" t="s">
        <v>27</v>
      </c>
      <c r="BU55" s="197"/>
      <c r="BV55" s="197"/>
      <c r="BW55" s="197"/>
      <c r="BX55" s="197"/>
      <c r="BY55" s="197"/>
      <c r="BZ55" s="197"/>
      <c r="CA55" s="197"/>
      <c r="CB55" s="197"/>
      <c r="CC55" s="197"/>
      <c r="CD55" s="197"/>
      <c r="CE55" s="197"/>
      <c r="CF55" s="197"/>
      <c r="CG55" s="197"/>
      <c r="CH55" s="305">
        <v>0</v>
      </c>
      <c r="CI55" s="198"/>
      <c r="CJ55" s="198"/>
      <c r="CK55" s="198"/>
      <c r="CL55" s="198"/>
      <c r="CM55" s="198"/>
      <c r="CN55" s="198"/>
      <c r="CO55" s="198"/>
      <c r="CP55" s="198"/>
      <c r="CQ55" s="306"/>
      <c r="CR55" s="95"/>
      <c r="CS55" s="95"/>
      <c r="CT55" s="95"/>
      <c r="CU55" s="95"/>
      <c r="CV55" s="95"/>
      <c r="CW55" s="95"/>
      <c r="CX55" s="95"/>
      <c r="CY55" s="95"/>
      <c r="CZ55" s="95"/>
      <c r="DA55" s="95"/>
      <c r="DB55" s="95"/>
      <c r="DC55" s="95"/>
      <c r="DD55" s="95"/>
      <c r="DE55" s="95"/>
      <c r="DF55" s="95"/>
      <c r="DG55" s="95"/>
      <c r="DH55" s="95"/>
      <c r="DI55" s="95"/>
      <c r="DJ55" s="95"/>
      <c r="DK55" s="95"/>
      <c r="DL55" s="95"/>
      <c r="DM55" s="95"/>
      <c r="DN55" s="95"/>
      <c r="DO55" s="95"/>
      <c r="DP55" s="95"/>
      <c r="DQ55" s="95"/>
      <c r="DR55" s="95"/>
      <c r="DS55" s="95"/>
      <c r="DT55" s="95"/>
      <c r="DU55" s="95"/>
      <c r="DV55" s="95"/>
      <c r="DW55" s="95"/>
      <c r="DX55" s="95"/>
      <c r="DY55" s="95"/>
      <c r="DZ55" s="95"/>
      <c r="EA55" s="95"/>
      <c r="EB55" s="95"/>
      <c r="EC55" s="95"/>
      <c r="ED55" s="95"/>
    </row>
    <row r="56" spans="41:134" ht="20.100000000000001" customHeight="1" x14ac:dyDescent="0.3">
      <c r="AO56" s="95"/>
      <c r="AP56" s="95"/>
      <c r="AQ56" s="95"/>
      <c r="AR56" s="95"/>
      <c r="AS56" s="95"/>
      <c r="AT56" s="95"/>
      <c r="AU56" s="95"/>
      <c r="AV56" s="95"/>
      <c r="AW56" s="95"/>
      <c r="AX56" s="95"/>
      <c r="AY56" s="95"/>
      <c r="AZ56" s="95"/>
      <c r="BA56" s="95"/>
      <c r="BB56" s="95"/>
      <c r="BC56" s="95"/>
      <c r="BD56" s="78"/>
      <c r="BE56" s="95"/>
      <c r="BF56" s="95"/>
      <c r="BG56" s="95"/>
      <c r="BH56" s="95"/>
      <c r="BI56" s="95"/>
      <c r="BJ56" s="95"/>
      <c r="BK56" s="95"/>
      <c r="BL56" s="95"/>
      <c r="BM56" s="240">
        <v>0</v>
      </c>
      <c r="BN56" s="241"/>
      <c r="BO56" s="241"/>
      <c r="BP56" s="241"/>
      <c r="BQ56" s="241"/>
      <c r="BR56" s="242"/>
      <c r="BS56" s="95"/>
      <c r="BT56" s="197" t="s">
        <v>28</v>
      </c>
      <c r="BU56" s="197"/>
      <c r="BV56" s="197"/>
      <c r="BW56" s="197"/>
      <c r="BX56" s="197"/>
      <c r="BY56" s="197"/>
      <c r="BZ56" s="197"/>
      <c r="CA56" s="197"/>
      <c r="CB56" s="197"/>
      <c r="CC56" s="197"/>
      <c r="CD56" s="197"/>
      <c r="CE56" s="197"/>
      <c r="CF56" s="197"/>
      <c r="CG56" s="197"/>
      <c r="CH56" s="198">
        <v>0</v>
      </c>
      <c r="CI56" s="198"/>
      <c r="CJ56" s="198"/>
      <c r="CK56" s="198"/>
      <c r="CL56" s="198"/>
      <c r="CM56" s="198"/>
      <c r="CN56" s="198"/>
      <c r="CO56" s="198"/>
      <c r="CP56" s="198"/>
      <c r="CQ56" s="198"/>
      <c r="CR56" s="95"/>
      <c r="CS56" s="95"/>
      <c r="CT56" s="95"/>
      <c r="CU56" s="95"/>
      <c r="CV56" s="95"/>
      <c r="CW56" s="95"/>
      <c r="CX56" s="95"/>
      <c r="CY56" s="95"/>
      <c r="CZ56" s="95"/>
      <c r="DA56" s="95"/>
      <c r="DB56" s="95"/>
      <c r="DC56" s="95"/>
      <c r="DD56" s="95"/>
      <c r="DE56" s="95"/>
      <c r="DF56" s="95"/>
      <c r="DG56" s="95"/>
      <c r="DH56" s="95"/>
      <c r="DI56" s="95"/>
      <c r="DJ56" s="95"/>
      <c r="DK56" s="95"/>
      <c r="DL56" s="95"/>
      <c r="DM56" s="95"/>
      <c r="DN56" s="95"/>
      <c r="DO56" s="95"/>
      <c r="DP56" s="95"/>
      <c r="DQ56" s="95"/>
      <c r="DR56" s="95"/>
      <c r="DS56" s="95"/>
      <c r="DT56" s="95"/>
      <c r="DU56" s="95"/>
      <c r="DV56" s="95"/>
      <c r="DW56" s="95"/>
      <c r="DX56" s="95"/>
      <c r="DY56" s="95"/>
      <c r="DZ56" s="95"/>
      <c r="EA56" s="95"/>
      <c r="EB56" s="95"/>
      <c r="EC56" s="95"/>
      <c r="ED56" s="95"/>
    </row>
    <row r="57" spans="41:134" ht="20.100000000000001" customHeight="1" x14ac:dyDescent="0.3">
      <c r="AO57" s="95"/>
      <c r="AP57" s="95"/>
      <c r="AQ57" s="95"/>
      <c r="AR57" s="95"/>
      <c r="AS57" s="95"/>
      <c r="AT57" s="95"/>
      <c r="AU57" s="95"/>
      <c r="AV57" s="95"/>
      <c r="AW57" s="95"/>
      <c r="AX57" s="95"/>
      <c r="AY57" s="95"/>
      <c r="AZ57" s="95"/>
      <c r="BA57" s="95"/>
      <c r="BB57" s="95"/>
      <c r="BC57" s="95"/>
      <c r="BD57" s="95"/>
      <c r="BE57" s="95"/>
      <c r="BF57" s="95"/>
      <c r="BG57" s="95"/>
      <c r="BH57" s="95"/>
      <c r="BI57" s="95"/>
      <c r="BJ57" s="95"/>
      <c r="BK57" s="95"/>
      <c r="BL57" s="95"/>
      <c r="BM57" s="243">
        <v>0</v>
      </c>
      <c r="BN57" s="244"/>
      <c r="BO57" s="244"/>
      <c r="BP57" s="244"/>
      <c r="BQ57" s="244"/>
      <c r="BR57" s="245"/>
      <c r="BS57" s="95"/>
      <c r="BT57" s="197" t="s">
        <v>29</v>
      </c>
      <c r="BU57" s="197"/>
      <c r="BV57" s="197"/>
      <c r="BW57" s="197"/>
      <c r="BX57" s="197"/>
      <c r="BY57" s="197"/>
      <c r="BZ57" s="197"/>
      <c r="CA57" s="197"/>
      <c r="CB57" s="197"/>
      <c r="CC57" s="197"/>
      <c r="CD57" s="197"/>
      <c r="CE57" s="197"/>
      <c r="CF57" s="197"/>
      <c r="CG57" s="197"/>
      <c r="CH57" s="305">
        <v>0</v>
      </c>
      <c r="CI57" s="198"/>
      <c r="CJ57" s="198"/>
      <c r="CK57" s="198"/>
      <c r="CL57" s="198"/>
      <c r="CM57" s="198"/>
      <c r="CN57" s="198"/>
      <c r="CO57" s="198"/>
      <c r="CP57" s="198"/>
      <c r="CQ57" s="306"/>
      <c r="CR57" s="95"/>
      <c r="CS57" s="95"/>
      <c r="CT57" s="95"/>
      <c r="CU57" s="95"/>
      <c r="CV57" s="95"/>
      <c r="CW57" s="95"/>
      <c r="CX57" s="95"/>
      <c r="CY57" s="95"/>
      <c r="CZ57" s="95"/>
      <c r="DA57" s="95"/>
      <c r="DB57" s="95"/>
      <c r="DC57" s="95"/>
      <c r="DD57" s="95"/>
      <c r="DE57" s="95"/>
      <c r="DF57" s="95"/>
      <c r="DG57" s="95"/>
      <c r="DH57" s="95"/>
      <c r="DI57" s="95"/>
      <c r="DJ57" s="95"/>
      <c r="DK57" s="95"/>
      <c r="DL57" s="95"/>
      <c r="DM57" s="95"/>
      <c r="DN57" s="95"/>
      <c r="DO57" s="95"/>
      <c r="DP57" s="95"/>
      <c r="DQ57" s="95"/>
      <c r="DR57" s="95"/>
      <c r="DS57" s="95"/>
      <c r="DT57" s="95"/>
      <c r="DU57" s="95"/>
      <c r="DV57" s="95"/>
      <c r="DW57" s="95"/>
      <c r="DX57" s="95"/>
      <c r="DY57" s="95"/>
      <c r="DZ57" s="95"/>
      <c r="EA57" s="95"/>
      <c r="EB57" s="95"/>
      <c r="EC57" s="95"/>
      <c r="ED57" s="95"/>
    </row>
    <row r="58" spans="41:134" ht="20.100000000000001" customHeight="1" x14ac:dyDescent="0.3">
      <c r="AO58" s="95"/>
      <c r="AP58" s="95"/>
      <c r="AQ58" s="95"/>
      <c r="AR58" s="95"/>
      <c r="AS58" s="95"/>
      <c r="AT58" s="95"/>
      <c r="AU58" s="95"/>
      <c r="AV58" s="95"/>
      <c r="AW58" s="95"/>
      <c r="AX58" s="95"/>
      <c r="AY58" s="95"/>
      <c r="AZ58" s="95"/>
      <c r="BA58" s="95"/>
      <c r="BB58" s="95"/>
      <c r="BC58" s="95"/>
      <c r="BD58" s="95"/>
      <c r="BE58" s="95"/>
      <c r="BF58" s="95"/>
      <c r="BG58" s="95"/>
      <c r="BH58" s="95"/>
      <c r="BI58" s="95"/>
      <c r="BJ58" s="95"/>
      <c r="BK58" s="95"/>
      <c r="BL58" s="95"/>
      <c r="BM58" s="95"/>
      <c r="BN58" s="95"/>
      <c r="BO58" s="95"/>
      <c r="BP58" s="95"/>
      <c r="BQ58" s="95"/>
      <c r="BR58" s="95"/>
      <c r="BS58" s="95"/>
      <c r="BT58" s="197" t="s">
        <v>30</v>
      </c>
      <c r="BU58" s="197"/>
      <c r="BV58" s="197"/>
      <c r="BW58" s="197"/>
      <c r="BX58" s="197"/>
      <c r="BY58" s="197"/>
      <c r="BZ58" s="197"/>
      <c r="CA58" s="197"/>
      <c r="CB58" s="197"/>
      <c r="CC58" s="197"/>
      <c r="CD58" s="197"/>
      <c r="CE58" s="197"/>
      <c r="CF58" s="197"/>
      <c r="CG58" s="197"/>
      <c r="CH58" s="198">
        <v>0</v>
      </c>
      <c r="CI58" s="198"/>
      <c r="CJ58" s="198"/>
      <c r="CK58" s="198"/>
      <c r="CL58" s="198"/>
      <c r="CM58" s="198"/>
      <c r="CN58" s="198"/>
      <c r="CO58" s="198"/>
      <c r="CP58" s="198"/>
      <c r="CQ58" s="198"/>
      <c r="CR58" s="95"/>
      <c r="CS58" s="95"/>
      <c r="CT58" s="303" t="s">
        <v>31</v>
      </c>
      <c r="CU58" s="303"/>
      <c r="CV58" s="303"/>
      <c r="CW58" s="303"/>
      <c r="CX58" s="303"/>
      <c r="CY58" s="303"/>
      <c r="CZ58" s="303"/>
      <c r="DA58" s="303"/>
      <c r="DB58" s="303"/>
      <c r="DC58" s="303"/>
      <c r="DD58" s="311"/>
      <c r="DE58" s="311"/>
      <c r="DF58" s="311"/>
      <c r="DG58" s="311"/>
      <c r="DH58" s="311"/>
      <c r="DI58" s="311"/>
      <c r="DJ58" s="95"/>
      <c r="DK58" s="308"/>
      <c r="DL58" s="308"/>
      <c r="DM58" s="308"/>
      <c r="DN58" s="308"/>
      <c r="DO58" s="308"/>
      <c r="DP58" s="308"/>
      <c r="DQ58" s="308"/>
      <c r="DR58" s="308"/>
      <c r="DS58" s="308"/>
      <c r="DT58" s="308"/>
      <c r="DU58" s="308"/>
      <c r="DV58" s="308"/>
      <c r="DW58" s="95"/>
      <c r="DX58" s="95"/>
      <c r="DY58" s="95"/>
      <c r="DZ58" s="95"/>
      <c r="EA58" s="95"/>
      <c r="EB58" s="95"/>
      <c r="EC58" s="95"/>
      <c r="ED58" s="95"/>
    </row>
    <row r="59" spans="41:134" ht="20.100000000000001" customHeight="1" x14ac:dyDescent="0.3">
      <c r="AO59" s="95"/>
      <c r="AP59" s="95"/>
      <c r="AQ59" s="95"/>
      <c r="AR59" s="95"/>
      <c r="AS59" s="95"/>
      <c r="AT59" s="95"/>
      <c r="AU59" s="95"/>
      <c r="AV59" s="95"/>
      <c r="AW59" s="95"/>
      <c r="AX59" s="95"/>
      <c r="AY59" s="95"/>
      <c r="AZ59" s="95"/>
      <c r="BA59" s="95"/>
      <c r="BB59" s="95"/>
      <c r="BC59" s="95"/>
      <c r="BD59" s="95"/>
      <c r="BE59" s="95"/>
      <c r="BF59" s="95"/>
      <c r="BG59" s="95"/>
      <c r="BH59" s="95"/>
      <c r="BI59" s="95"/>
      <c r="BJ59" s="95"/>
      <c r="BK59" s="95"/>
      <c r="BL59" s="95"/>
      <c r="BM59" s="95"/>
      <c r="BN59" s="95"/>
      <c r="BO59" s="95"/>
      <c r="BP59" s="95"/>
      <c r="BQ59" s="95"/>
      <c r="BR59" s="95"/>
      <c r="BS59" s="95"/>
      <c r="BT59" s="197" t="s">
        <v>32</v>
      </c>
      <c r="BU59" s="197"/>
      <c r="BV59" s="197"/>
      <c r="BW59" s="197"/>
      <c r="BX59" s="197"/>
      <c r="BY59" s="197"/>
      <c r="BZ59" s="197"/>
      <c r="CA59" s="197"/>
      <c r="CB59" s="197"/>
      <c r="CC59" s="197"/>
      <c r="CD59" s="197"/>
      <c r="CE59" s="197"/>
      <c r="CF59" s="197"/>
      <c r="CG59" s="197"/>
      <c r="CH59" s="198">
        <f>IF(DN69&gt;0,BZ51-DD51+DN69,0)</f>
        <v>0</v>
      </c>
      <c r="CI59" s="198"/>
      <c r="CJ59" s="198"/>
      <c r="CK59" s="198"/>
      <c r="CL59" s="198"/>
      <c r="CM59" s="198"/>
      <c r="CN59" s="198"/>
      <c r="CO59" s="198"/>
      <c r="CP59" s="198"/>
      <c r="CQ59" s="198"/>
      <c r="CR59" s="95"/>
      <c r="CS59" s="95"/>
      <c r="CT59" s="303" t="s">
        <v>33</v>
      </c>
      <c r="CU59" s="303"/>
      <c r="CV59" s="303"/>
      <c r="CW59" s="303"/>
      <c r="CX59" s="303"/>
      <c r="CY59" s="303"/>
      <c r="CZ59" s="303"/>
      <c r="DA59" s="303"/>
      <c r="DB59" s="303"/>
      <c r="DC59" s="303"/>
      <c r="DD59" s="304"/>
      <c r="DE59" s="304"/>
      <c r="DF59" s="304"/>
      <c r="DG59" s="304"/>
      <c r="DH59" s="304"/>
      <c r="DI59" s="304"/>
      <c r="DJ59" s="95"/>
      <c r="DK59" s="95"/>
      <c r="DL59" s="95"/>
      <c r="DM59" s="95"/>
      <c r="DN59" s="95"/>
      <c r="DO59" s="95"/>
      <c r="DP59" s="95"/>
      <c r="DQ59" s="95"/>
      <c r="DR59" s="95"/>
      <c r="DS59" s="95"/>
      <c r="DT59" s="95"/>
      <c r="DU59" s="95"/>
      <c r="DV59" s="95"/>
      <c r="DW59" s="95"/>
      <c r="DX59" s="95"/>
      <c r="DY59" s="95"/>
      <c r="DZ59" s="95"/>
      <c r="EA59" s="95"/>
      <c r="EB59" s="95"/>
      <c r="EC59" s="95"/>
      <c r="ED59" s="95"/>
    </row>
    <row r="60" spans="41:134" ht="20.100000000000001" customHeight="1" x14ac:dyDescent="0.3">
      <c r="AO60" s="95"/>
      <c r="AP60" s="300" t="s">
        <v>34</v>
      </c>
      <c r="AQ60" s="300"/>
      <c r="AR60" s="300"/>
      <c r="AS60" s="300"/>
      <c r="AT60" s="300"/>
      <c r="AU60" s="300"/>
      <c r="AV60" s="300"/>
      <c r="AW60" s="300"/>
      <c r="AX60" s="300"/>
      <c r="AY60" s="300"/>
      <c r="AZ60" s="300"/>
      <c r="BA60" s="300"/>
      <c r="BB60" s="300"/>
      <c r="BC60" s="300"/>
      <c r="BD60" s="300"/>
      <c r="BE60" s="300"/>
      <c r="BF60" s="300"/>
      <c r="BG60" s="300"/>
      <c r="BH60" s="300"/>
      <c r="BI60" s="300"/>
      <c r="BJ60" s="300"/>
      <c r="BK60" s="300"/>
      <c r="BL60" s="300"/>
      <c r="BM60" s="300"/>
      <c r="BN60" s="300"/>
      <c r="BO60" s="300"/>
      <c r="BP60" s="300"/>
      <c r="BQ60" s="95"/>
      <c r="BR60" s="95"/>
      <c r="BS60" s="95"/>
      <c r="BT60" s="95"/>
      <c r="BU60" s="95"/>
      <c r="BV60" s="95"/>
      <c r="BW60" s="95"/>
      <c r="BX60" s="95"/>
      <c r="BY60" s="95"/>
      <c r="BZ60" s="95"/>
      <c r="CA60" s="95"/>
      <c r="CB60" s="95"/>
      <c r="CC60" s="95"/>
      <c r="CD60" s="95"/>
      <c r="CE60" s="95"/>
      <c r="CF60" s="95"/>
      <c r="CG60" s="95"/>
      <c r="CH60" s="95"/>
      <c r="CI60" s="95"/>
      <c r="CJ60" s="95"/>
      <c r="CK60" s="95"/>
      <c r="CL60" s="95"/>
      <c r="CM60" s="95"/>
      <c r="CN60" s="95"/>
      <c r="CO60" s="95"/>
      <c r="CP60" s="95"/>
      <c r="CQ60" s="95"/>
      <c r="CR60" s="95"/>
      <c r="CS60" s="95"/>
      <c r="CT60" s="95"/>
      <c r="CU60" s="95"/>
      <c r="CV60" s="95"/>
      <c r="CW60" s="95"/>
      <c r="CX60" s="95"/>
      <c r="CY60" s="95"/>
      <c r="CZ60" s="95"/>
      <c r="DA60" s="95"/>
      <c r="DB60" s="95"/>
      <c r="DC60" s="95"/>
      <c r="DD60" s="95"/>
      <c r="DE60" s="95"/>
      <c r="DF60" s="95"/>
      <c r="DG60" s="95"/>
      <c r="DH60" s="95"/>
      <c r="DI60" s="95"/>
      <c r="DJ60" s="95"/>
      <c r="DK60" s="95"/>
      <c r="DL60" s="95"/>
      <c r="DM60" s="95"/>
      <c r="DN60" s="95"/>
      <c r="DO60" s="95"/>
      <c r="DP60" s="95"/>
      <c r="DQ60" s="95"/>
      <c r="DR60" s="95"/>
      <c r="DS60" s="95"/>
      <c r="DT60" s="95"/>
      <c r="DU60" s="95"/>
      <c r="DV60" s="95"/>
      <c r="DW60" s="95"/>
      <c r="DX60" s="95"/>
      <c r="DY60" s="95"/>
      <c r="DZ60" s="95"/>
      <c r="EA60" s="95"/>
      <c r="EB60" s="95"/>
      <c r="EC60" s="95"/>
      <c r="ED60" s="95"/>
    </row>
    <row r="61" spans="41:134" ht="5.0999999999999996" customHeight="1" x14ac:dyDescent="0.3">
      <c r="AO61" s="86"/>
      <c r="AP61" s="86"/>
      <c r="AQ61" s="86"/>
      <c r="AR61" s="86"/>
      <c r="AS61" s="86"/>
      <c r="AT61" s="86"/>
      <c r="AU61" s="86"/>
      <c r="AV61" s="86"/>
      <c r="AW61" s="86"/>
      <c r="AX61" s="86"/>
      <c r="AY61" s="86"/>
      <c r="AZ61" s="86"/>
      <c r="BA61" s="86"/>
      <c r="BB61" s="86"/>
      <c r="BC61" s="86"/>
      <c r="BD61" s="86"/>
      <c r="BE61" s="86"/>
      <c r="BF61" s="86"/>
      <c r="BG61" s="86"/>
      <c r="BH61" s="86"/>
      <c r="BI61" s="86"/>
      <c r="BJ61" s="86"/>
      <c r="BK61" s="86"/>
      <c r="BL61" s="86"/>
      <c r="BM61" s="86"/>
      <c r="BN61" s="86"/>
      <c r="BO61" s="86"/>
      <c r="BP61" s="86"/>
      <c r="BQ61" s="86"/>
      <c r="BR61" s="86"/>
      <c r="BS61" s="86"/>
      <c r="BT61" s="86"/>
      <c r="BU61" s="86"/>
      <c r="BV61" s="86"/>
      <c r="BW61" s="86"/>
      <c r="BX61" s="86"/>
      <c r="BY61" s="86"/>
      <c r="BZ61" s="86"/>
      <c r="CA61" s="86"/>
      <c r="CB61" s="86"/>
      <c r="CC61" s="86"/>
      <c r="CD61" s="86"/>
      <c r="CE61" s="86"/>
      <c r="CF61" s="86"/>
      <c r="CG61" s="86"/>
      <c r="CH61" s="86"/>
      <c r="CI61" s="86"/>
      <c r="CJ61" s="86"/>
      <c r="CK61" s="86"/>
      <c r="CL61" s="86"/>
      <c r="CM61" s="86"/>
      <c r="CN61" s="86"/>
      <c r="CO61" s="86"/>
      <c r="CP61" s="86"/>
      <c r="CQ61" s="86"/>
      <c r="CR61" s="86"/>
      <c r="CS61" s="86"/>
      <c r="CT61" s="86"/>
      <c r="CU61" s="86"/>
      <c r="CV61" s="86"/>
      <c r="CW61" s="86"/>
      <c r="CX61" s="86"/>
      <c r="CY61" s="86"/>
      <c r="CZ61" s="86"/>
      <c r="DA61" s="86"/>
      <c r="DB61" s="86"/>
      <c r="DC61" s="86"/>
      <c r="DD61" s="86"/>
      <c r="DE61" s="86"/>
      <c r="DF61" s="86"/>
      <c r="DG61" s="86"/>
      <c r="DH61" s="86"/>
      <c r="DI61" s="86"/>
      <c r="DJ61" s="86"/>
      <c r="DK61" s="86"/>
      <c r="DL61" s="86"/>
      <c r="DM61" s="86"/>
      <c r="DN61" s="86"/>
      <c r="DO61" s="86"/>
      <c r="DP61" s="86"/>
      <c r="DQ61" s="86"/>
      <c r="DR61" s="86"/>
      <c r="DS61" s="86"/>
      <c r="DT61" s="86"/>
      <c r="DU61" s="86"/>
      <c r="DV61" s="86"/>
      <c r="DW61" s="86"/>
      <c r="DX61" s="86"/>
      <c r="DY61" s="86"/>
      <c r="DZ61" s="86"/>
      <c r="EA61" s="86"/>
      <c r="EB61" s="86"/>
      <c r="EC61" s="86"/>
      <c r="ED61" s="86"/>
    </row>
    <row r="62" spans="41:134" ht="15" customHeight="1" x14ac:dyDescent="0.3">
      <c r="AO62" s="86"/>
      <c r="AP62" s="86"/>
      <c r="AQ62" s="86"/>
      <c r="AR62" s="86"/>
      <c r="AS62" s="86"/>
      <c r="AT62" s="86"/>
      <c r="AU62" s="86"/>
      <c r="AV62" s="86"/>
      <c r="AW62" s="86"/>
      <c r="AX62" s="86"/>
      <c r="AY62" s="86"/>
      <c r="AZ62" s="86"/>
      <c r="BA62" s="86"/>
      <c r="BB62" s="86"/>
      <c r="BC62" s="86"/>
      <c r="BD62" s="86"/>
      <c r="BE62" s="86"/>
      <c r="BF62" s="86"/>
      <c r="BG62" s="86"/>
      <c r="BH62" s="86"/>
      <c r="BI62" s="86"/>
      <c r="BJ62" s="86"/>
      <c r="BK62" s="86"/>
      <c r="BL62" s="86"/>
      <c r="BM62" s="86"/>
      <c r="BN62" s="86"/>
      <c r="BO62" s="86"/>
      <c r="BP62" s="86"/>
      <c r="BQ62" s="86"/>
      <c r="BR62" s="86"/>
      <c r="BS62" s="86"/>
      <c r="BT62" s="86"/>
      <c r="BU62" s="86"/>
      <c r="BV62" s="86"/>
      <c r="BW62" s="86"/>
      <c r="BX62" s="86"/>
      <c r="BY62" s="86"/>
      <c r="BZ62" s="86"/>
      <c r="CA62" s="86"/>
      <c r="CB62" s="86"/>
      <c r="CC62" s="86"/>
      <c r="CD62" s="86"/>
      <c r="CE62" s="86"/>
      <c r="CF62" s="86"/>
      <c r="CG62" s="86"/>
      <c r="CH62" s="86"/>
      <c r="CI62" s="86"/>
      <c r="CJ62" s="86"/>
      <c r="CK62" s="86"/>
      <c r="CL62" s="86"/>
      <c r="CM62" s="86"/>
      <c r="CN62" s="86"/>
      <c r="CO62" s="86"/>
      <c r="CP62" s="146"/>
      <c r="CQ62" s="147"/>
      <c r="CR62" s="147"/>
      <c r="CS62" s="147"/>
      <c r="CT62" s="147"/>
      <c r="CU62" s="147"/>
      <c r="CV62" s="147"/>
      <c r="CW62" s="147"/>
      <c r="CX62" s="168"/>
      <c r="CY62" s="168"/>
      <c r="CZ62" s="168"/>
      <c r="DA62" s="168"/>
      <c r="DB62" s="168"/>
      <c r="DC62" s="168"/>
      <c r="DD62" s="168"/>
      <c r="DE62" s="168"/>
      <c r="DF62" s="168"/>
      <c r="DG62" s="168"/>
      <c r="DH62" s="169"/>
      <c r="DI62" s="169"/>
      <c r="DJ62" s="169"/>
      <c r="DK62" s="169"/>
      <c r="DL62" s="169"/>
      <c r="DM62" s="169"/>
      <c r="DN62" s="169"/>
      <c r="DO62" s="169"/>
      <c r="DP62" s="169"/>
      <c r="DQ62" s="169"/>
      <c r="DR62" s="169"/>
      <c r="DS62" s="169"/>
      <c r="DT62" s="149"/>
      <c r="DU62" s="149"/>
      <c r="DV62" s="149"/>
      <c r="DW62" s="149"/>
      <c r="DX62" s="149"/>
      <c r="DY62" s="149"/>
      <c r="DZ62" s="149"/>
      <c r="EA62" s="149"/>
      <c r="EB62" s="164"/>
      <c r="EC62" s="86"/>
      <c r="ED62" s="86"/>
    </row>
    <row r="63" spans="41:134" ht="15" customHeight="1" x14ac:dyDescent="0.3">
      <c r="AO63" s="86"/>
      <c r="AP63" s="86"/>
      <c r="AQ63" s="86"/>
      <c r="AR63" s="86"/>
      <c r="AS63" s="86"/>
      <c r="AT63" s="86"/>
      <c r="AU63" s="86"/>
      <c r="AV63" s="86"/>
      <c r="AW63" s="86"/>
      <c r="AX63" s="86"/>
      <c r="AY63" s="86"/>
      <c r="AZ63" s="86"/>
      <c r="BA63" s="86"/>
      <c r="BB63" s="86"/>
      <c r="BC63" s="86"/>
      <c r="BD63" s="86"/>
      <c r="BE63" s="86"/>
      <c r="BF63" s="86"/>
      <c r="BG63" s="86"/>
      <c r="BH63" s="86"/>
      <c r="BI63" s="86"/>
      <c r="BJ63" s="86"/>
      <c r="BK63" s="86"/>
      <c r="BL63" s="86"/>
      <c r="BM63" s="86"/>
      <c r="BN63" s="86"/>
      <c r="BO63" s="86"/>
      <c r="BP63" s="86"/>
      <c r="BQ63" s="86"/>
      <c r="BR63" s="86"/>
      <c r="BS63" s="86"/>
      <c r="BT63" s="86"/>
      <c r="BU63" s="86"/>
      <c r="BV63" s="86"/>
      <c r="BW63" s="86"/>
      <c r="BX63" s="86"/>
      <c r="BY63" s="86"/>
      <c r="BZ63" s="86"/>
      <c r="CA63" s="86"/>
      <c r="CB63" s="86"/>
      <c r="CC63" s="86"/>
      <c r="CD63" s="86"/>
      <c r="CE63" s="86"/>
      <c r="CF63" s="86"/>
      <c r="CG63" s="86"/>
      <c r="CH63" s="86"/>
      <c r="CI63" s="86"/>
      <c r="CJ63" s="86"/>
      <c r="CK63" s="86"/>
      <c r="CL63" s="86"/>
      <c r="CM63" s="86"/>
      <c r="CN63" s="86"/>
      <c r="CO63" s="86"/>
      <c r="CP63" s="151"/>
      <c r="CQ63" s="158"/>
      <c r="CR63" s="158"/>
      <c r="CS63" s="158"/>
      <c r="CT63" s="158"/>
      <c r="CU63" s="158"/>
      <c r="CV63" s="158"/>
      <c r="CW63" s="158"/>
      <c r="CX63" s="158"/>
      <c r="CY63" s="158"/>
      <c r="CZ63" s="153"/>
      <c r="DA63" s="153"/>
      <c r="DB63" s="153"/>
      <c r="DC63" s="153"/>
      <c r="DD63" s="153"/>
      <c r="DE63" s="153"/>
      <c r="DF63" s="153"/>
      <c r="DG63" s="153"/>
      <c r="DH63" s="171"/>
      <c r="DI63" s="171"/>
      <c r="DJ63" s="171"/>
      <c r="DK63" s="171"/>
      <c r="DL63" s="171"/>
      <c r="DM63" s="171"/>
      <c r="DN63" s="171"/>
      <c r="DO63" s="171"/>
      <c r="DP63" s="171"/>
      <c r="DQ63" s="171"/>
      <c r="DR63" s="171"/>
      <c r="DS63" s="171"/>
      <c r="DT63" s="150"/>
      <c r="DU63" s="150"/>
      <c r="DV63" s="150"/>
      <c r="DW63" s="150"/>
      <c r="DX63" s="150"/>
      <c r="DY63" s="150"/>
      <c r="DZ63" s="150"/>
      <c r="EA63" s="150"/>
      <c r="EB63" s="165"/>
      <c r="EC63" s="86"/>
      <c r="ED63" s="86"/>
    </row>
    <row r="64" spans="41:134" ht="21" customHeight="1" x14ac:dyDescent="0.3">
      <c r="AO64" s="86"/>
      <c r="AP64" s="86"/>
      <c r="AQ64" s="86"/>
      <c r="AR64" s="86"/>
      <c r="AS64" s="86"/>
      <c r="AT64" s="86"/>
      <c r="AU64" s="86"/>
      <c r="AV64" s="86"/>
      <c r="AW64" s="86"/>
      <c r="AX64" s="86"/>
      <c r="AY64" s="86"/>
      <c r="AZ64" s="86"/>
      <c r="BA64" s="86"/>
      <c r="BB64" s="86"/>
      <c r="BC64" s="86"/>
      <c r="BD64" s="86"/>
      <c r="BE64" s="86"/>
      <c r="BF64" s="86"/>
      <c r="BG64" s="86"/>
      <c r="BH64" s="86"/>
      <c r="BI64" s="86"/>
      <c r="BJ64" s="86"/>
      <c r="BK64" s="86"/>
      <c r="BL64" s="86"/>
      <c r="BM64" s="86"/>
      <c r="BN64" s="86"/>
      <c r="BO64" s="86"/>
      <c r="BP64" s="86"/>
      <c r="BQ64" s="86"/>
      <c r="BR64" s="86"/>
      <c r="BS64" s="86"/>
      <c r="BT64" s="86"/>
      <c r="BU64" s="86"/>
      <c r="BV64" s="86"/>
      <c r="BW64" s="86"/>
      <c r="BX64" s="86"/>
      <c r="BY64" s="86"/>
      <c r="BZ64" s="86"/>
      <c r="CA64" s="86"/>
      <c r="CB64" s="86"/>
      <c r="CC64" s="86"/>
      <c r="CD64" s="86"/>
      <c r="CE64" s="86"/>
      <c r="CF64" s="86"/>
      <c r="CG64" s="86"/>
      <c r="CH64" s="86"/>
      <c r="CI64" s="86"/>
      <c r="CJ64" s="86"/>
      <c r="CK64" s="86"/>
      <c r="CL64" s="86"/>
      <c r="CM64" s="86"/>
      <c r="CN64" s="86"/>
      <c r="CO64" s="86"/>
      <c r="CP64" s="151"/>
      <c r="CQ64" s="150"/>
      <c r="CR64" s="150"/>
      <c r="CS64" s="150"/>
      <c r="CT64" s="150"/>
      <c r="CU64" s="150"/>
      <c r="CV64" s="150"/>
      <c r="CW64" s="154"/>
      <c r="CX64" s="154"/>
      <c r="CY64" s="154"/>
      <c r="CZ64" s="154"/>
      <c r="DA64" s="154"/>
      <c r="DB64" s="154"/>
      <c r="DC64" s="154"/>
      <c r="DD64" s="154"/>
      <c r="DE64" s="154"/>
      <c r="DF64" s="154"/>
      <c r="DG64" s="154"/>
      <c r="DH64" s="152"/>
      <c r="DI64" s="152"/>
      <c r="DJ64" s="152"/>
      <c r="DK64" s="152"/>
      <c r="DL64" s="152"/>
      <c r="DM64" s="150"/>
      <c r="DN64" s="302" t="s">
        <v>35</v>
      </c>
      <c r="DO64" s="302"/>
      <c r="DP64" s="302"/>
      <c r="DQ64" s="302"/>
      <c r="DR64" s="302"/>
      <c r="DS64" s="302"/>
      <c r="DT64" s="302"/>
      <c r="DU64" s="302"/>
      <c r="DV64" s="302"/>
      <c r="DW64" s="301"/>
      <c r="DX64" s="301"/>
      <c r="DY64" s="301"/>
      <c r="DZ64" s="301"/>
      <c r="EA64" s="150"/>
      <c r="EB64" s="165"/>
      <c r="EC64" s="86"/>
      <c r="ED64" s="86"/>
    </row>
    <row r="65" spans="41:134" ht="21" customHeight="1" x14ac:dyDescent="0.3">
      <c r="AO65" s="86"/>
      <c r="AP65" s="86"/>
      <c r="AQ65" s="86"/>
      <c r="AR65" s="86"/>
      <c r="AS65" s="86"/>
      <c r="AT65" s="86"/>
      <c r="AU65" s="86"/>
      <c r="AV65" s="86"/>
      <c r="AW65" s="86"/>
      <c r="AX65" s="86"/>
      <c r="AY65" s="86"/>
      <c r="AZ65" s="86"/>
      <c r="BA65" s="86"/>
      <c r="BB65" s="86"/>
      <c r="BC65" s="86"/>
      <c r="BD65" s="86"/>
      <c r="BE65" s="86"/>
      <c r="BF65" s="86"/>
      <c r="BG65" s="86"/>
      <c r="BH65" s="86"/>
      <c r="BI65" s="86"/>
      <c r="BJ65" s="86"/>
      <c r="BK65" s="86"/>
      <c r="BL65" s="86"/>
      <c r="BM65" s="86"/>
      <c r="BN65" s="86"/>
      <c r="BO65" s="86"/>
      <c r="BP65" s="86"/>
      <c r="BQ65" s="86"/>
      <c r="BR65" s="86"/>
      <c r="BS65" s="86"/>
      <c r="BT65" s="86"/>
      <c r="BU65" s="86"/>
      <c r="BV65" s="86"/>
      <c r="BW65" s="86"/>
      <c r="BX65" s="86"/>
      <c r="BY65" s="86"/>
      <c r="BZ65" s="86"/>
      <c r="CA65" s="86"/>
      <c r="CB65" s="86"/>
      <c r="CC65" s="86"/>
      <c r="CD65" s="86"/>
      <c r="CE65" s="86"/>
      <c r="CF65" s="86"/>
      <c r="CG65" s="86"/>
      <c r="CH65" s="86"/>
      <c r="CI65" s="86"/>
      <c r="CJ65" s="86"/>
      <c r="CK65" s="86"/>
      <c r="CL65" s="86"/>
      <c r="CM65" s="86"/>
      <c r="CN65" s="86"/>
      <c r="CO65" s="86"/>
      <c r="CP65" s="151"/>
      <c r="CQ65" s="150"/>
      <c r="CR65" s="150"/>
      <c r="CS65" s="150"/>
      <c r="CT65" s="150"/>
      <c r="CU65" s="150"/>
      <c r="CV65" s="150"/>
      <c r="CW65" s="150"/>
      <c r="CX65" s="150"/>
      <c r="CY65" s="155"/>
      <c r="CZ65" s="155"/>
      <c r="DA65" s="155"/>
      <c r="DB65" s="155"/>
      <c r="DC65" s="155"/>
      <c r="DD65" s="155"/>
      <c r="DE65" s="155"/>
      <c r="DF65" s="156"/>
      <c r="DG65" s="156"/>
      <c r="DH65" s="156"/>
      <c r="DI65" s="156"/>
      <c r="DJ65" s="156"/>
      <c r="DK65" s="156"/>
      <c r="DL65" s="155"/>
      <c r="DM65" s="155"/>
      <c r="DN65" s="298" t="s">
        <v>36</v>
      </c>
      <c r="DO65" s="298"/>
      <c r="DP65" s="298"/>
      <c r="DQ65" s="298"/>
      <c r="DR65" s="298"/>
      <c r="DS65" s="298"/>
      <c r="DT65" s="298"/>
      <c r="DU65" s="298"/>
      <c r="DV65" s="298"/>
      <c r="DW65" s="298"/>
      <c r="DX65" s="298"/>
      <c r="DY65" s="298"/>
      <c r="DZ65" s="298"/>
      <c r="EA65" s="150"/>
      <c r="EB65" s="165"/>
      <c r="EC65" s="86"/>
      <c r="ED65" s="86"/>
    </row>
    <row r="66" spans="41:134" ht="21" customHeight="1" x14ac:dyDescent="0.3">
      <c r="AO66" s="86"/>
      <c r="AP66" s="86"/>
      <c r="AQ66" s="86"/>
      <c r="AR66" s="86"/>
      <c r="AS66" s="86"/>
      <c r="AT66" s="86"/>
      <c r="AU66" s="86"/>
      <c r="AV66" s="86"/>
      <c r="AW66" s="86"/>
      <c r="AX66" s="86"/>
      <c r="AY66" s="86"/>
      <c r="AZ66" s="86"/>
      <c r="BA66" s="86"/>
      <c r="BB66" s="86"/>
      <c r="BC66" s="86"/>
      <c r="BD66" s="86"/>
      <c r="BE66" s="86"/>
      <c r="BF66" s="86"/>
      <c r="BG66" s="86"/>
      <c r="BH66" s="86"/>
      <c r="BI66" s="86"/>
      <c r="BJ66" s="86"/>
      <c r="BK66" s="86"/>
      <c r="BL66" s="86"/>
      <c r="BM66" s="86"/>
      <c r="BN66" s="86"/>
      <c r="BO66" s="86"/>
      <c r="BP66" s="86"/>
      <c r="BQ66" s="86"/>
      <c r="BR66" s="86"/>
      <c r="BS66" s="86"/>
      <c r="BT66" s="86"/>
      <c r="BU66" s="86"/>
      <c r="BV66" s="86"/>
      <c r="BW66" s="86"/>
      <c r="BX66" s="86"/>
      <c r="BY66" s="86"/>
      <c r="BZ66" s="86"/>
      <c r="CA66" s="86"/>
      <c r="CB66" s="86"/>
      <c r="CC66" s="86"/>
      <c r="CD66" s="86"/>
      <c r="CE66" s="86"/>
      <c r="CF66" s="86"/>
      <c r="CG66" s="86"/>
      <c r="CH66" s="86"/>
      <c r="CI66" s="86"/>
      <c r="CJ66" s="86"/>
      <c r="CK66" s="86"/>
      <c r="CL66" s="86"/>
      <c r="CM66" s="86"/>
      <c r="CN66" s="86"/>
      <c r="CO66" s="86"/>
      <c r="CP66" s="151"/>
      <c r="CQ66" s="150"/>
      <c r="CR66" s="150"/>
      <c r="CS66" s="150"/>
      <c r="CT66" s="150"/>
      <c r="CU66" s="150"/>
      <c r="CV66" s="150"/>
      <c r="CW66" s="150"/>
      <c r="CX66" s="150"/>
      <c r="CY66" s="155"/>
      <c r="CZ66" s="155"/>
      <c r="DA66" s="155"/>
      <c r="DB66" s="155"/>
      <c r="DC66" s="155"/>
      <c r="DD66" s="155"/>
      <c r="DE66" s="155"/>
      <c r="DF66" s="155"/>
      <c r="DG66" s="156"/>
      <c r="DH66" s="156"/>
      <c r="DI66" s="156"/>
      <c r="DJ66" s="156"/>
      <c r="DK66" s="156"/>
      <c r="DL66" s="155"/>
      <c r="DM66" s="155"/>
      <c r="DN66" s="299">
        <v>0</v>
      </c>
      <c r="DO66" s="299"/>
      <c r="DP66" s="299"/>
      <c r="DQ66" s="299"/>
      <c r="DR66" s="299"/>
      <c r="DS66" s="299"/>
      <c r="DT66" s="299"/>
      <c r="DU66" s="299"/>
      <c r="DV66" s="299"/>
      <c r="DW66" s="299"/>
      <c r="DX66" s="299"/>
      <c r="DY66" s="299"/>
      <c r="DZ66" s="299"/>
      <c r="EA66" s="150"/>
      <c r="EB66" s="165"/>
      <c r="EC66" s="86"/>
      <c r="ED66" s="86"/>
    </row>
    <row r="67" spans="41:134" ht="21" customHeight="1" x14ac:dyDescent="0.3">
      <c r="AO67" s="86"/>
      <c r="AP67" s="86"/>
      <c r="AQ67" s="86"/>
      <c r="AR67" s="86"/>
      <c r="AS67" s="86"/>
      <c r="AT67" s="86"/>
      <c r="AU67" s="86"/>
      <c r="AV67" s="86"/>
      <c r="AW67" s="86"/>
      <c r="AX67" s="86"/>
      <c r="AY67" s="86"/>
      <c r="AZ67" s="86"/>
      <c r="BA67" s="86"/>
      <c r="BB67" s="86"/>
      <c r="BC67" s="86"/>
      <c r="BD67" s="86"/>
      <c r="BE67" s="86"/>
      <c r="BF67" s="86"/>
      <c r="BG67" s="86"/>
      <c r="BH67" s="86"/>
      <c r="BI67" s="86"/>
      <c r="BJ67" s="86"/>
      <c r="BK67" s="86"/>
      <c r="BL67" s="86"/>
      <c r="BM67" s="86"/>
      <c r="BN67" s="86"/>
      <c r="BO67" s="86"/>
      <c r="BP67" s="86"/>
      <c r="BQ67" s="86"/>
      <c r="BR67" s="86"/>
      <c r="BS67" s="86"/>
      <c r="BT67" s="86"/>
      <c r="BU67" s="86"/>
      <c r="BV67" s="86"/>
      <c r="BW67" s="86"/>
      <c r="BX67" s="86"/>
      <c r="BY67" s="86"/>
      <c r="BZ67" s="86"/>
      <c r="CA67" s="86"/>
      <c r="CB67" s="86"/>
      <c r="CC67" s="86"/>
      <c r="CD67" s="86"/>
      <c r="CE67" s="86"/>
      <c r="CF67" s="86"/>
      <c r="CG67" s="86"/>
      <c r="CH67" s="86"/>
      <c r="CI67" s="86"/>
      <c r="CJ67" s="86"/>
      <c r="CK67" s="86"/>
      <c r="CL67" s="86"/>
      <c r="CM67" s="86"/>
      <c r="CN67" s="86"/>
      <c r="CO67" s="86"/>
      <c r="CP67" s="151"/>
      <c r="CQ67" s="150"/>
      <c r="CR67" s="150"/>
      <c r="CS67" s="150"/>
      <c r="CT67" s="150"/>
      <c r="CU67" s="150"/>
      <c r="CV67" s="150"/>
      <c r="CW67" s="150"/>
      <c r="CX67" s="150"/>
      <c r="CY67" s="157"/>
      <c r="CZ67" s="157"/>
      <c r="DA67" s="157"/>
      <c r="DB67" s="157"/>
      <c r="DC67" s="157"/>
      <c r="DD67" s="157"/>
      <c r="DE67" s="157"/>
      <c r="DF67" s="157"/>
      <c r="DG67" s="156"/>
      <c r="DH67" s="156"/>
      <c r="DI67" s="156"/>
      <c r="DJ67" s="156"/>
      <c r="DK67" s="156"/>
      <c r="DL67" s="157"/>
      <c r="DM67" s="157"/>
      <c r="DN67" s="298" t="s">
        <v>37</v>
      </c>
      <c r="DO67" s="298"/>
      <c r="DP67" s="298"/>
      <c r="DQ67" s="298"/>
      <c r="DR67" s="298"/>
      <c r="DS67" s="298"/>
      <c r="DT67" s="298"/>
      <c r="DU67" s="298"/>
      <c r="DV67" s="298"/>
      <c r="DW67" s="298"/>
      <c r="DX67" s="298"/>
      <c r="DY67" s="298"/>
      <c r="DZ67" s="298"/>
      <c r="EA67" s="150"/>
      <c r="EB67" s="165"/>
      <c r="EC67" s="86"/>
      <c r="ED67" s="86"/>
    </row>
    <row r="68" spans="41:134" ht="21" customHeight="1" x14ac:dyDescent="0.3">
      <c r="AO68" s="86"/>
      <c r="AP68" s="86"/>
      <c r="AQ68" s="86"/>
      <c r="AR68" s="86"/>
      <c r="AS68" s="86"/>
      <c r="AT68" s="86"/>
      <c r="AU68" s="86"/>
      <c r="AV68" s="86"/>
      <c r="AW68" s="86"/>
      <c r="AX68" s="86"/>
      <c r="AY68" s="86"/>
      <c r="AZ68" s="86"/>
      <c r="BA68" s="86"/>
      <c r="BB68" s="86"/>
      <c r="BC68" s="86"/>
      <c r="BD68" s="86"/>
      <c r="BE68" s="86"/>
      <c r="BF68" s="86"/>
      <c r="BG68" s="86"/>
      <c r="BH68" s="86"/>
      <c r="BI68" s="86"/>
      <c r="BJ68" s="86"/>
      <c r="BK68" s="86"/>
      <c r="BL68" s="86"/>
      <c r="BM68" s="86"/>
      <c r="BN68" s="86"/>
      <c r="BO68" s="86"/>
      <c r="BP68" s="86"/>
      <c r="BQ68" s="86"/>
      <c r="BR68" s="86"/>
      <c r="BS68" s="86"/>
      <c r="BT68" s="86"/>
      <c r="BU68" s="86"/>
      <c r="BV68" s="86"/>
      <c r="BW68" s="86"/>
      <c r="BX68" s="86"/>
      <c r="BY68" s="86"/>
      <c r="BZ68" s="86"/>
      <c r="CA68" s="86"/>
      <c r="CB68" s="86"/>
      <c r="CC68" s="86"/>
      <c r="CD68" s="86"/>
      <c r="CE68" s="86"/>
      <c r="CF68" s="86"/>
      <c r="CG68" s="86"/>
      <c r="CH68" s="86"/>
      <c r="CI68" s="86"/>
      <c r="CJ68" s="86"/>
      <c r="CK68" s="86"/>
      <c r="CL68" s="86"/>
      <c r="CM68" s="86"/>
      <c r="CN68" s="86"/>
      <c r="CO68" s="86"/>
      <c r="CP68" s="151"/>
      <c r="CQ68" s="158"/>
      <c r="CR68" s="158"/>
      <c r="CS68" s="158"/>
      <c r="CT68" s="158"/>
      <c r="CU68" s="158"/>
      <c r="CV68" s="158"/>
      <c r="CW68" s="158"/>
      <c r="CX68" s="158"/>
      <c r="CY68" s="158"/>
      <c r="CZ68" s="158"/>
      <c r="DA68" s="158"/>
      <c r="DB68" s="158"/>
      <c r="DC68" s="153"/>
      <c r="DD68" s="153"/>
      <c r="DE68" s="153"/>
      <c r="DF68" s="153"/>
      <c r="DG68" s="153"/>
      <c r="DH68" s="153"/>
      <c r="DI68" s="153"/>
      <c r="DJ68" s="153"/>
      <c r="DK68" s="153"/>
      <c r="DL68" s="153"/>
      <c r="DM68" s="153"/>
      <c r="DN68" s="298" t="s">
        <v>38</v>
      </c>
      <c r="DO68" s="298"/>
      <c r="DP68" s="298"/>
      <c r="DQ68" s="298"/>
      <c r="DR68" s="298"/>
      <c r="DS68" s="298"/>
      <c r="DT68" s="298"/>
      <c r="DU68" s="298"/>
      <c r="DV68" s="298"/>
      <c r="DW68" s="298"/>
      <c r="DX68" s="298"/>
      <c r="DY68" s="298"/>
      <c r="DZ68" s="298"/>
      <c r="EA68" s="150"/>
      <c r="EB68" s="165"/>
      <c r="EC68" s="86"/>
      <c r="ED68" s="86"/>
    </row>
    <row r="69" spans="41:134" ht="21" customHeight="1" x14ac:dyDescent="0.3">
      <c r="AO69" s="86"/>
      <c r="AP69" s="86"/>
      <c r="AQ69" s="86"/>
      <c r="AR69" s="86"/>
      <c r="AS69" s="86"/>
      <c r="AT69" s="86"/>
      <c r="AU69" s="86"/>
      <c r="AV69" s="86"/>
      <c r="AW69" s="86"/>
      <c r="AX69" s="86"/>
      <c r="AY69" s="86"/>
      <c r="AZ69" s="86"/>
      <c r="BA69" s="86"/>
      <c r="BB69" s="86"/>
      <c r="BC69" s="86"/>
      <c r="BD69" s="86"/>
      <c r="BE69" s="86"/>
      <c r="BF69" s="86"/>
      <c r="BG69" s="86"/>
      <c r="BH69" s="86"/>
      <c r="BI69" s="86"/>
      <c r="BJ69" s="86"/>
      <c r="BK69" s="86"/>
      <c r="BL69" s="86"/>
      <c r="BM69" s="86"/>
      <c r="BN69" s="86"/>
      <c r="BO69" s="86"/>
      <c r="BP69" s="86"/>
      <c r="BQ69" s="86"/>
      <c r="BR69" s="86"/>
      <c r="BS69" s="86"/>
      <c r="BT69" s="86"/>
      <c r="BU69" s="86"/>
      <c r="BV69" s="86"/>
      <c r="BW69" s="86"/>
      <c r="BX69" s="86"/>
      <c r="BY69" s="86"/>
      <c r="BZ69" s="86"/>
      <c r="CA69" s="86"/>
      <c r="CB69" s="86"/>
      <c r="CC69" s="86"/>
      <c r="CD69" s="86"/>
      <c r="CE69" s="86"/>
      <c r="CF69" s="86"/>
      <c r="CG69" s="86"/>
      <c r="CH69" s="86"/>
      <c r="CI69" s="86"/>
      <c r="CJ69" s="86"/>
      <c r="CK69" s="86"/>
      <c r="CL69" s="86"/>
      <c r="CM69" s="86"/>
      <c r="CN69" s="86"/>
      <c r="CO69" s="86"/>
      <c r="CP69" s="151"/>
      <c r="CQ69" s="170"/>
      <c r="CR69" s="170"/>
      <c r="CS69" s="170"/>
      <c r="CT69" s="170"/>
      <c r="CU69" s="170"/>
      <c r="CV69" s="170"/>
      <c r="CW69" s="170"/>
      <c r="CX69" s="170"/>
      <c r="CY69" s="170"/>
      <c r="CZ69" s="170"/>
      <c r="DA69" s="170"/>
      <c r="DB69" s="170"/>
      <c r="DC69" s="170"/>
      <c r="DD69" s="170"/>
      <c r="DE69" s="170"/>
      <c r="DF69" s="170"/>
      <c r="DG69" s="153"/>
      <c r="DH69" s="153"/>
      <c r="DI69" s="159"/>
      <c r="DJ69" s="159"/>
      <c r="DK69" s="159"/>
      <c r="DL69" s="159"/>
      <c r="DM69" s="159"/>
      <c r="DN69" s="307">
        <f>IF(AND(DN66&gt;0,NOT(ISBLANK(DW64)=TRUE)),600+1200+DN66+750+_xlfn.FLOOR.MATH(DW64*BZ51,500),0)</f>
        <v>0</v>
      </c>
      <c r="DO69" s="307"/>
      <c r="DP69" s="307"/>
      <c r="DQ69" s="307"/>
      <c r="DR69" s="307"/>
      <c r="DS69" s="307"/>
      <c r="DT69" s="307"/>
      <c r="DU69" s="307"/>
      <c r="DV69" s="307"/>
      <c r="DW69" s="307"/>
      <c r="DX69" s="307"/>
      <c r="DY69" s="307"/>
      <c r="DZ69" s="307"/>
      <c r="EA69" s="150"/>
      <c r="EB69" s="165"/>
      <c r="EC69" s="86"/>
      <c r="ED69" s="86"/>
    </row>
    <row r="70" spans="41:134" ht="21" customHeight="1" x14ac:dyDescent="0.3">
      <c r="AO70" s="86"/>
      <c r="AP70" s="86"/>
      <c r="AQ70" s="86"/>
      <c r="AR70" s="86"/>
      <c r="AS70" s="86"/>
      <c r="AT70" s="86"/>
      <c r="AU70" s="86"/>
      <c r="AV70" s="86"/>
      <c r="AW70" s="86"/>
      <c r="AX70" s="86"/>
      <c r="AY70" s="86"/>
      <c r="AZ70" s="86"/>
      <c r="BA70" s="86"/>
      <c r="BB70" s="86"/>
      <c r="BC70" s="86"/>
      <c r="BD70" s="86"/>
      <c r="BE70" s="86"/>
      <c r="BF70" s="86"/>
      <c r="BG70" s="86"/>
      <c r="BH70" s="86"/>
      <c r="BI70" s="86"/>
      <c r="BJ70" s="86"/>
      <c r="BK70" s="86"/>
      <c r="BL70" s="86"/>
      <c r="BM70" s="86"/>
      <c r="BN70" s="86"/>
      <c r="BO70" s="86"/>
      <c r="BP70" s="86"/>
      <c r="BQ70" s="86"/>
      <c r="BR70" s="86"/>
      <c r="BS70" s="86"/>
      <c r="BT70" s="86"/>
      <c r="BU70" s="86"/>
      <c r="BV70" s="86"/>
      <c r="BW70" s="86"/>
      <c r="BX70" s="86"/>
      <c r="BY70" s="86"/>
      <c r="BZ70" s="86"/>
      <c r="CA70" s="86"/>
      <c r="CB70" s="86"/>
      <c r="CC70" s="86"/>
      <c r="CD70" s="86"/>
      <c r="CE70" s="86"/>
      <c r="CF70" s="86"/>
      <c r="CG70" s="86"/>
      <c r="CH70" s="86"/>
      <c r="CI70" s="86"/>
      <c r="CJ70" s="86"/>
      <c r="CK70" s="86"/>
      <c r="CL70" s="86"/>
      <c r="CM70" s="86"/>
      <c r="CN70" s="86"/>
      <c r="CO70" s="86"/>
      <c r="CP70" s="160"/>
      <c r="CQ70" s="170"/>
      <c r="CR70" s="170"/>
      <c r="CS70" s="170"/>
      <c r="CT70" s="170"/>
      <c r="CU70" s="170"/>
      <c r="CV70" s="170"/>
      <c r="CW70" s="170"/>
      <c r="CX70" s="170"/>
      <c r="CY70" s="170"/>
      <c r="CZ70" s="170"/>
      <c r="DA70" s="170"/>
      <c r="DB70" s="170"/>
      <c r="DC70" s="170"/>
      <c r="DD70" s="170"/>
      <c r="DE70" s="170"/>
      <c r="DF70" s="170"/>
      <c r="DG70" s="153"/>
      <c r="DH70" s="153"/>
      <c r="DI70" s="159"/>
      <c r="DJ70" s="159"/>
      <c r="DK70" s="159"/>
      <c r="DL70" s="159"/>
      <c r="DM70" s="159"/>
      <c r="DN70" s="159"/>
      <c r="DO70" s="159"/>
      <c r="DP70" s="159"/>
      <c r="DQ70" s="159"/>
      <c r="DR70" s="159"/>
      <c r="DS70" s="159"/>
      <c r="DT70" s="159"/>
      <c r="DU70" s="150"/>
      <c r="DV70" s="150"/>
      <c r="DW70" s="150"/>
      <c r="DX70" s="150"/>
      <c r="DY70" s="150"/>
      <c r="DZ70" s="150"/>
      <c r="EA70" s="150"/>
      <c r="EB70" s="165"/>
      <c r="EC70" s="86"/>
      <c r="ED70" s="86"/>
    </row>
    <row r="71" spans="41:134" ht="21" customHeight="1" x14ac:dyDescent="0.3">
      <c r="AO71" s="86"/>
      <c r="AP71" s="86"/>
      <c r="AQ71" s="86"/>
      <c r="AR71" s="86"/>
      <c r="AS71" s="86"/>
      <c r="AT71" s="86"/>
      <c r="AU71" s="86"/>
      <c r="AV71" s="86"/>
      <c r="AW71" s="86"/>
      <c r="AX71" s="86"/>
      <c r="AY71" s="86"/>
      <c r="AZ71" s="86"/>
      <c r="BA71" s="86"/>
      <c r="BB71" s="86"/>
      <c r="BC71" s="86"/>
      <c r="BD71" s="86"/>
      <c r="BE71" s="86"/>
      <c r="BF71" s="86"/>
      <c r="BG71" s="86"/>
      <c r="BH71" s="86"/>
      <c r="BI71" s="86"/>
      <c r="BJ71" s="86"/>
      <c r="BK71" s="86"/>
      <c r="BL71" s="86"/>
      <c r="BM71" s="86"/>
      <c r="BN71" s="86"/>
      <c r="BO71" s="86"/>
      <c r="BP71" s="86"/>
      <c r="BQ71" s="86"/>
      <c r="BR71" s="86"/>
      <c r="BS71" s="86"/>
      <c r="BT71" s="86"/>
      <c r="BU71" s="86"/>
      <c r="BV71" s="86"/>
      <c r="BW71" s="86"/>
      <c r="BX71" s="86"/>
      <c r="BY71" s="86"/>
      <c r="BZ71" s="86"/>
      <c r="CA71" s="86"/>
      <c r="CB71" s="86"/>
      <c r="CC71" s="86"/>
      <c r="CD71" s="86"/>
      <c r="CE71" s="86"/>
      <c r="CF71" s="86"/>
      <c r="CG71" s="86"/>
      <c r="CH71" s="86"/>
      <c r="CI71" s="86"/>
      <c r="CJ71" s="86"/>
      <c r="CK71" s="86"/>
      <c r="CL71" s="86"/>
      <c r="CM71" s="86"/>
      <c r="CN71" s="86"/>
      <c r="CO71" s="86"/>
      <c r="CP71" s="151"/>
      <c r="CQ71" s="150"/>
      <c r="CR71" s="150"/>
      <c r="CS71" s="150"/>
      <c r="CT71" s="150"/>
      <c r="CU71" s="150"/>
      <c r="CV71" s="150"/>
      <c r="CW71" s="150"/>
      <c r="CX71" s="150"/>
      <c r="CY71" s="150"/>
      <c r="CZ71" s="150"/>
      <c r="DA71" s="150"/>
      <c r="DB71" s="150"/>
      <c r="DC71" s="150"/>
      <c r="DD71" s="150"/>
      <c r="DE71" s="150"/>
      <c r="DF71" s="150"/>
      <c r="DG71" s="150"/>
      <c r="DH71" s="150"/>
      <c r="DI71" s="150"/>
      <c r="DJ71" s="150"/>
      <c r="DK71" s="150"/>
      <c r="DL71" s="150"/>
      <c r="DM71" s="150"/>
      <c r="DN71" s="150"/>
      <c r="DO71" s="150"/>
      <c r="DP71" s="150"/>
      <c r="DQ71" s="150"/>
      <c r="DR71" s="150"/>
      <c r="DS71" s="150"/>
      <c r="DT71" s="150"/>
      <c r="DU71" s="150"/>
      <c r="DV71" s="150"/>
      <c r="DW71" s="150"/>
      <c r="DX71" s="150"/>
      <c r="DY71" s="150"/>
      <c r="DZ71" s="150"/>
      <c r="EA71" s="150"/>
      <c r="EB71" s="165"/>
      <c r="EC71" s="86"/>
      <c r="ED71" s="86"/>
    </row>
    <row r="72" spans="41:134" ht="15" customHeight="1" x14ac:dyDescent="0.3">
      <c r="AO72" s="86"/>
      <c r="AP72" s="86"/>
      <c r="AQ72" s="86"/>
      <c r="AR72" s="86"/>
      <c r="AS72" s="86"/>
      <c r="AT72" s="86"/>
      <c r="AU72" s="86"/>
      <c r="AV72" s="86"/>
      <c r="AW72" s="86"/>
      <c r="AX72" s="86"/>
      <c r="AY72" s="86"/>
      <c r="AZ72" s="86"/>
      <c r="BA72" s="86"/>
      <c r="BB72" s="86"/>
      <c r="BC72" s="86"/>
      <c r="BD72" s="86"/>
      <c r="BE72" s="86"/>
      <c r="BF72" s="86"/>
      <c r="BG72" s="86"/>
      <c r="BH72" s="86"/>
      <c r="BI72" s="86"/>
      <c r="BJ72" s="86"/>
      <c r="BK72" s="86"/>
      <c r="BL72" s="86"/>
      <c r="BM72" s="86"/>
      <c r="BN72" s="86"/>
      <c r="BO72" s="86"/>
      <c r="BP72" s="86"/>
      <c r="BQ72" s="86"/>
      <c r="BR72" s="86"/>
      <c r="BS72" s="86"/>
      <c r="BT72" s="86"/>
      <c r="BU72" s="86"/>
      <c r="BV72" s="86"/>
      <c r="BW72" s="86"/>
      <c r="BX72" s="86"/>
      <c r="BY72" s="86"/>
      <c r="BZ72" s="86"/>
      <c r="CA72" s="86"/>
      <c r="CB72" s="86"/>
      <c r="CC72" s="86"/>
      <c r="CD72" s="86"/>
      <c r="CE72" s="86"/>
      <c r="CF72" s="86"/>
      <c r="CG72" s="86"/>
      <c r="CH72" s="86"/>
      <c r="CI72" s="86"/>
      <c r="CJ72" s="86"/>
      <c r="CK72" s="86"/>
      <c r="CL72" s="86"/>
      <c r="CM72" s="86"/>
      <c r="CN72" s="86"/>
      <c r="CO72" s="86"/>
      <c r="CP72" s="161"/>
      <c r="CQ72" s="167"/>
      <c r="CR72" s="167"/>
      <c r="CS72" s="167"/>
      <c r="CT72" s="167"/>
      <c r="CU72" s="167"/>
      <c r="CV72" s="167"/>
      <c r="CW72" s="167"/>
      <c r="CX72" s="167"/>
      <c r="CY72" s="167"/>
      <c r="CZ72" s="167"/>
      <c r="DA72" s="167"/>
      <c r="DB72" s="162"/>
      <c r="DC72" s="162"/>
      <c r="DD72" s="162"/>
      <c r="DE72" s="162"/>
      <c r="DF72" s="162"/>
      <c r="DG72" s="162"/>
      <c r="DH72" s="162"/>
      <c r="DI72" s="162"/>
      <c r="DJ72" s="162"/>
      <c r="DK72" s="167"/>
      <c r="DL72" s="167"/>
      <c r="DM72" s="167"/>
      <c r="DN72" s="167"/>
      <c r="DO72" s="167"/>
      <c r="DP72" s="167"/>
      <c r="DQ72" s="167"/>
      <c r="DR72" s="167"/>
      <c r="DS72" s="167"/>
      <c r="DT72" s="167"/>
      <c r="DU72" s="163"/>
      <c r="DV72" s="163"/>
      <c r="DW72" s="163"/>
      <c r="DX72" s="163"/>
      <c r="DY72" s="163"/>
      <c r="DZ72" s="163"/>
      <c r="EA72" s="163"/>
      <c r="EB72" s="166"/>
      <c r="EC72" s="86"/>
      <c r="ED72" s="86"/>
    </row>
    <row r="73" spans="41:134" ht="15" customHeight="1" x14ac:dyDescent="0.3">
      <c r="AO73" s="86"/>
      <c r="AP73" s="86"/>
      <c r="AQ73" s="86"/>
      <c r="AR73" s="86"/>
      <c r="AS73" s="86"/>
      <c r="AT73" s="86"/>
      <c r="AU73" s="86"/>
      <c r="AV73" s="86"/>
      <c r="AW73" s="86"/>
      <c r="AX73" s="86"/>
      <c r="AY73" s="86"/>
      <c r="AZ73" s="86"/>
      <c r="BA73" s="86"/>
      <c r="BB73" s="86"/>
      <c r="BC73" s="86"/>
      <c r="BD73" s="86"/>
      <c r="BE73" s="86"/>
      <c r="BF73" s="86"/>
      <c r="BG73" s="86"/>
      <c r="BH73" s="86"/>
      <c r="BI73" s="86"/>
      <c r="BJ73" s="86"/>
      <c r="BK73" s="86"/>
      <c r="BL73" s="86"/>
      <c r="BM73" s="86"/>
      <c r="BN73" s="86"/>
      <c r="BO73" s="86"/>
      <c r="BP73" s="86"/>
      <c r="BQ73" s="86"/>
      <c r="BR73" s="86"/>
      <c r="BS73" s="86"/>
      <c r="BT73" s="86"/>
      <c r="BU73" s="86"/>
      <c r="BV73" s="86"/>
      <c r="BW73" s="86"/>
      <c r="BX73" s="86"/>
      <c r="BY73" s="86"/>
      <c r="BZ73" s="86"/>
      <c r="CA73" s="86"/>
      <c r="CB73" s="86"/>
      <c r="CC73" s="86"/>
      <c r="CD73" s="86"/>
      <c r="CE73" s="86"/>
      <c r="CF73" s="86"/>
      <c r="CG73" s="86"/>
      <c r="CH73" s="86"/>
      <c r="CI73" s="86"/>
      <c r="CJ73" s="86"/>
      <c r="CK73" s="86"/>
      <c r="CL73" s="86"/>
      <c r="CM73" s="86"/>
      <c r="CN73" s="86"/>
      <c r="CO73" s="86"/>
      <c r="CP73" s="86"/>
      <c r="CQ73" s="86"/>
      <c r="CR73" s="86"/>
      <c r="CS73" s="86"/>
      <c r="CT73" s="86"/>
      <c r="CU73" s="86"/>
      <c r="CV73" s="86"/>
      <c r="CW73" s="86"/>
      <c r="CX73" s="86"/>
      <c r="CY73" s="86"/>
      <c r="CZ73" s="86"/>
      <c r="DA73" s="86"/>
      <c r="DB73" s="86"/>
      <c r="DC73" s="86"/>
      <c r="DD73" s="86"/>
      <c r="DE73" s="86"/>
      <c r="DF73" s="86"/>
      <c r="DG73" s="86"/>
      <c r="DH73" s="86"/>
      <c r="DI73" s="86"/>
      <c r="DJ73" s="86"/>
      <c r="DK73" s="86"/>
      <c r="DL73" s="86"/>
      <c r="DM73" s="86"/>
      <c r="DN73" s="86"/>
      <c r="DO73" s="86"/>
      <c r="DP73" s="86"/>
      <c r="DQ73" s="86"/>
      <c r="DR73" s="86"/>
      <c r="DS73" s="86"/>
      <c r="DT73" s="86"/>
      <c r="DU73" s="86"/>
      <c r="DV73" s="86"/>
      <c r="DW73" s="86"/>
      <c r="DX73" s="86"/>
      <c r="DY73" s="86"/>
      <c r="DZ73" s="86"/>
      <c r="EA73" s="86"/>
      <c r="EB73" s="86"/>
      <c r="EC73" s="86"/>
      <c r="ED73" s="86"/>
    </row>
    <row r="74" spans="41:134" ht="15" customHeight="1" x14ac:dyDescent="0.3">
      <c r="AO74" s="86"/>
      <c r="AP74" s="86"/>
      <c r="AQ74" s="86"/>
      <c r="AR74" s="86"/>
      <c r="AS74" s="86"/>
      <c r="AT74" s="86"/>
      <c r="AU74" s="86"/>
      <c r="AV74" s="86"/>
      <c r="AW74" s="86"/>
      <c r="AX74" s="86"/>
      <c r="AY74" s="86"/>
      <c r="AZ74" s="86"/>
      <c r="BA74" s="86"/>
      <c r="BB74" s="86"/>
      <c r="BC74" s="86"/>
      <c r="BD74" s="86"/>
      <c r="BE74" s="86"/>
      <c r="BF74" s="86"/>
      <c r="BG74" s="86"/>
      <c r="BH74" s="86"/>
      <c r="BI74" s="86"/>
      <c r="BJ74" s="86"/>
      <c r="BK74" s="86"/>
      <c r="BL74" s="86"/>
      <c r="BM74" s="86"/>
      <c r="BN74" s="86"/>
      <c r="BO74" s="86"/>
      <c r="BP74" s="86"/>
      <c r="BQ74" s="86"/>
      <c r="BR74" s="86"/>
      <c r="BS74" s="86"/>
      <c r="BT74" s="86"/>
      <c r="BU74" s="86"/>
      <c r="BV74" s="86"/>
      <c r="BW74" s="86"/>
      <c r="BX74" s="86"/>
      <c r="BY74" s="86"/>
      <c r="BZ74" s="86"/>
      <c r="CA74" s="86"/>
      <c r="CB74" s="86"/>
      <c r="CC74" s="86"/>
      <c r="CD74" s="86"/>
      <c r="CE74" s="86"/>
      <c r="CF74" s="86"/>
      <c r="CG74" s="86"/>
      <c r="CH74" s="86"/>
      <c r="CI74" s="86"/>
      <c r="CJ74" s="86"/>
      <c r="CK74" s="86"/>
      <c r="CL74" s="86"/>
      <c r="CM74" s="86"/>
      <c r="CN74" s="86"/>
      <c r="CO74" s="86"/>
      <c r="CP74" s="86"/>
      <c r="CQ74" s="86"/>
      <c r="CR74" s="86"/>
      <c r="CS74" s="86"/>
      <c r="CT74" s="86"/>
      <c r="CU74" s="86"/>
      <c r="CV74" s="86"/>
      <c r="CW74" s="86"/>
      <c r="CX74" s="86"/>
      <c r="CY74" s="86"/>
      <c r="CZ74" s="86"/>
      <c r="DA74" s="86"/>
      <c r="DB74" s="86"/>
      <c r="DC74" s="86"/>
      <c r="DD74" s="86"/>
      <c r="DE74" s="86"/>
      <c r="DF74" s="86"/>
      <c r="DG74" s="86"/>
      <c r="DH74" s="86"/>
      <c r="DI74" s="86"/>
      <c r="DJ74" s="86"/>
      <c r="DK74" s="86"/>
      <c r="DL74" s="86"/>
      <c r="DM74" s="86"/>
      <c r="DN74" s="86"/>
      <c r="DO74" s="86"/>
      <c r="DP74" s="86"/>
      <c r="DQ74" s="86"/>
      <c r="DR74" s="86"/>
      <c r="DS74" s="86"/>
      <c r="DT74" s="86"/>
      <c r="DU74" s="86"/>
      <c r="DV74" s="86"/>
      <c r="DW74" s="86"/>
      <c r="DX74" s="86"/>
      <c r="DY74" s="86"/>
      <c r="DZ74" s="86"/>
      <c r="EA74" s="86"/>
      <c r="EB74" s="86"/>
      <c r="EC74" s="86"/>
      <c r="ED74" s="86"/>
    </row>
  </sheetData>
  <mergeCells count="98">
    <mergeCell ref="CH55:CQ55"/>
    <mergeCell ref="BT58:CG58"/>
    <mergeCell ref="CX3:DH3"/>
    <mergeCell ref="DN68:DZ68"/>
    <mergeCell ref="DN69:DZ69"/>
    <mergeCell ref="CK20:CW20"/>
    <mergeCell ref="CK24:CP24"/>
    <mergeCell ref="DK58:DV58"/>
    <mergeCell ref="DD51:DU52"/>
    <mergeCell ref="DD58:DI58"/>
    <mergeCell ref="CU51:DC52"/>
    <mergeCell ref="CT58:DC58"/>
    <mergeCell ref="CH54:CQ54"/>
    <mergeCell ref="CH58:CQ58"/>
    <mergeCell ref="CK36:CZ37"/>
    <mergeCell ref="CK21:DO22"/>
    <mergeCell ref="CT59:DC59"/>
    <mergeCell ref="DD59:DI59"/>
    <mergeCell ref="BT59:CG59"/>
    <mergeCell ref="CH57:CQ57"/>
    <mergeCell ref="BT56:CG56"/>
    <mergeCell ref="CH56:CQ56"/>
    <mergeCell ref="CH59:CQ59"/>
    <mergeCell ref="DN65:DZ65"/>
    <mergeCell ref="DN66:DZ66"/>
    <mergeCell ref="DN67:DZ67"/>
    <mergeCell ref="AP60:BP60"/>
    <mergeCell ref="DW64:DZ64"/>
    <mergeCell ref="DN64:DV64"/>
    <mergeCell ref="AP34:AW36"/>
    <mergeCell ref="AX34:BI36"/>
    <mergeCell ref="BN38:BW39"/>
    <mergeCell ref="BN40:CD42"/>
    <mergeCell ref="BN43:CD45"/>
    <mergeCell ref="AQ39:BI48"/>
    <mergeCell ref="DF2:DM2"/>
    <mergeCell ref="DS12:DV12"/>
    <mergeCell ref="DX12:EA12"/>
    <mergeCell ref="BE32:BF32"/>
    <mergeCell ref="BW32:BY32"/>
    <mergeCell ref="CA32:CC32"/>
    <mergeCell ref="DO2:DZ3"/>
    <mergeCell ref="CX9:DM10"/>
    <mergeCell ref="CX12:DH12"/>
    <mergeCell ref="DP9:EA10"/>
    <mergeCell ref="CX8:DI8"/>
    <mergeCell ref="CK25:DO26"/>
    <mergeCell ref="DG30:DM30"/>
    <mergeCell ref="DN29:DX30"/>
    <mergeCell ref="CK16:DC16"/>
    <mergeCell ref="BS31:BU31"/>
    <mergeCell ref="BS33:BU33"/>
    <mergeCell ref="BW33:BY33"/>
    <mergeCell ref="CA33:CC33"/>
    <mergeCell ref="BZ51:CQ52"/>
    <mergeCell ref="BP51:BY52"/>
    <mergeCell ref="BN37:CD37"/>
    <mergeCell ref="BS34:BU34"/>
    <mergeCell ref="BW34:BY34"/>
    <mergeCell ref="BX38:CD39"/>
    <mergeCell ref="CK40:CZ40"/>
    <mergeCell ref="CK41:CZ42"/>
    <mergeCell ref="CK38:CZ39"/>
    <mergeCell ref="CK44:CZ45"/>
    <mergeCell ref="CK46:CZ46"/>
    <mergeCell ref="CK47:CZ48"/>
    <mergeCell ref="BM56:BR56"/>
    <mergeCell ref="BM57:BR57"/>
    <mergeCell ref="BT57:CG57"/>
    <mergeCell ref="BT55:CG55"/>
    <mergeCell ref="AQ51:BO52"/>
    <mergeCell ref="AT16:BD16"/>
    <mergeCell ref="AT20:BF20"/>
    <mergeCell ref="BF16:BQ16"/>
    <mergeCell ref="AT17:BX18"/>
    <mergeCell ref="AP30:AW30"/>
    <mergeCell ref="BM30:BS30"/>
    <mergeCell ref="AT24:AZ24"/>
    <mergeCell ref="BB24:BD24"/>
    <mergeCell ref="AT21:BX22"/>
    <mergeCell ref="AT25:BX26"/>
    <mergeCell ref="AX29:BI30"/>
    <mergeCell ref="BT29:CD30"/>
    <mergeCell ref="BS32:BU32"/>
    <mergeCell ref="BT53:CG53"/>
    <mergeCell ref="BT54:CG54"/>
    <mergeCell ref="CH53:CQ53"/>
    <mergeCell ref="CK17:DO18"/>
    <mergeCell ref="CP29:CZ30"/>
    <mergeCell ref="BN46:CD48"/>
    <mergeCell ref="DG46:DO48"/>
    <mergeCell ref="DG43:DX45"/>
    <mergeCell ref="DG40:DX42"/>
    <mergeCell ref="DG37:DX39"/>
    <mergeCell ref="DP46:DX48"/>
    <mergeCell ref="BM32:BR33"/>
    <mergeCell ref="CJ30:CO30"/>
    <mergeCell ref="CK43:CZ43"/>
  </mergeCells>
  <pageMargins left="0" right="0" top="0" bottom="0" header="0" footer="0"/>
  <pageSetup scale="72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C95E-A41E-49CC-BD52-0815A9CEF925}">
  <sheetPr codeName="Sheet4"/>
  <dimension ref="A2:Q56"/>
  <sheetViews>
    <sheetView workbookViewId="0">
      <selection activeCell="J10" sqref="J10"/>
    </sheetView>
  </sheetViews>
  <sheetFormatPr defaultRowHeight="14.4" x14ac:dyDescent="0.3"/>
  <cols>
    <col min="3" max="3" width="14" customWidth="1"/>
    <col min="4" max="4" width="15" customWidth="1"/>
    <col min="5" max="5" width="15.88671875" bestFit="1" customWidth="1"/>
    <col min="6" max="6" width="15" customWidth="1"/>
    <col min="7" max="7" width="15.88671875" customWidth="1"/>
    <col min="8" max="8" width="11.21875" customWidth="1"/>
    <col min="9" max="9" width="12" bestFit="1" customWidth="1"/>
    <col min="10" max="10" width="13.77734375" customWidth="1"/>
    <col min="12" max="12" width="27" customWidth="1"/>
    <col min="13" max="13" width="23.77734375" customWidth="1"/>
    <col min="14" max="14" width="27" customWidth="1"/>
    <col min="15" max="15" width="23.5546875" customWidth="1"/>
    <col min="16" max="16" width="24.109375" customWidth="1"/>
    <col min="18" max="18" width="25" customWidth="1"/>
    <col min="19" max="19" width="19.77734375" customWidth="1"/>
    <col min="20" max="20" width="27.21875" customWidth="1"/>
    <col min="21" max="21" width="27" customWidth="1"/>
    <col min="22" max="22" width="23.44140625" customWidth="1"/>
    <col min="23" max="23" width="22.5546875" customWidth="1"/>
    <col min="24" max="24" width="11.5546875" customWidth="1"/>
  </cols>
  <sheetData>
    <row r="2" spans="2:9" x14ac:dyDescent="0.3">
      <c r="C2" s="1" t="s">
        <v>39</v>
      </c>
      <c r="D2" s="2" t="s">
        <v>40</v>
      </c>
      <c r="E2" s="3" t="s">
        <v>41</v>
      </c>
      <c r="F2" s="12"/>
    </row>
    <row r="3" spans="2:9" x14ac:dyDescent="0.3">
      <c r="C3" s="8">
        <v>740</v>
      </c>
      <c r="D3" s="9">
        <v>5012</v>
      </c>
      <c r="E3" s="10"/>
      <c r="F3" s="13"/>
      <c r="H3" s="66"/>
    </row>
    <row r="5" spans="2:9" ht="15" thickBot="1" x14ac:dyDescent="0.35"/>
    <row r="6" spans="2:9" ht="15" thickBot="1" x14ac:dyDescent="0.35">
      <c r="B6" s="333" t="s">
        <v>48</v>
      </c>
      <c r="C6" s="334"/>
      <c r="D6" s="334"/>
      <c r="E6" s="108" t="s">
        <v>49</v>
      </c>
      <c r="F6" s="108" t="s">
        <v>50</v>
      </c>
      <c r="G6" s="67" t="s">
        <v>51</v>
      </c>
      <c r="H6" s="64"/>
      <c r="I6" s="64"/>
    </row>
    <row r="7" spans="2:9" x14ac:dyDescent="0.3">
      <c r="B7" s="339" t="s">
        <v>52</v>
      </c>
      <c r="C7" s="340"/>
      <c r="D7" s="340"/>
      <c r="E7" s="68">
        <v>0</v>
      </c>
      <c r="F7" s="109">
        <v>0</v>
      </c>
      <c r="G7" s="102"/>
      <c r="I7" s="66"/>
    </row>
    <row r="8" spans="2:9" x14ac:dyDescent="0.3">
      <c r="B8" s="337" t="s">
        <v>53</v>
      </c>
      <c r="C8" s="338"/>
      <c r="D8" s="338"/>
      <c r="E8" s="110">
        <v>0</v>
      </c>
      <c r="F8" s="111">
        <v>0</v>
      </c>
      <c r="G8" s="103"/>
      <c r="H8" s="132"/>
      <c r="I8" s="65"/>
    </row>
    <row r="9" spans="2:9" x14ac:dyDescent="0.3">
      <c r="B9" s="335" t="s">
        <v>55</v>
      </c>
      <c r="C9" s="336"/>
      <c r="D9" s="336"/>
      <c r="E9" s="112">
        <v>0</v>
      </c>
      <c r="F9" s="113">
        <v>0</v>
      </c>
      <c r="G9" s="104"/>
      <c r="I9" s="66"/>
    </row>
    <row r="10" spans="2:9" x14ac:dyDescent="0.3">
      <c r="B10" s="337" t="s">
        <v>58</v>
      </c>
      <c r="C10" s="338"/>
      <c r="D10" s="338"/>
      <c r="E10" s="110">
        <v>0</v>
      </c>
      <c r="F10" s="111">
        <v>0</v>
      </c>
      <c r="G10" s="105"/>
      <c r="H10" s="132"/>
      <c r="I10" s="65"/>
    </row>
    <row r="11" spans="2:9" x14ac:dyDescent="0.3">
      <c r="B11" s="335" t="s">
        <v>60</v>
      </c>
      <c r="C11" s="343"/>
      <c r="D11" s="343"/>
      <c r="E11" s="112">
        <v>0</v>
      </c>
      <c r="F11" s="113">
        <v>0</v>
      </c>
      <c r="G11" s="106"/>
      <c r="I11" s="66"/>
    </row>
    <row r="12" spans="2:9" ht="15" thickBot="1" x14ac:dyDescent="0.35">
      <c r="B12" s="344" t="s">
        <v>61</v>
      </c>
      <c r="C12" s="345"/>
      <c r="D12" s="345"/>
      <c r="E12" s="114">
        <v>0</v>
      </c>
      <c r="F12" s="115">
        <v>0</v>
      </c>
      <c r="G12" s="107"/>
      <c r="H12" s="65"/>
      <c r="I12" s="65"/>
    </row>
    <row r="13" spans="2:9" x14ac:dyDescent="0.3">
      <c r="B13" s="15"/>
      <c r="C13" s="12"/>
      <c r="D13" s="13"/>
      <c r="E13" s="13"/>
      <c r="F13" s="13"/>
    </row>
    <row r="14" spans="2:9" x14ac:dyDescent="0.3">
      <c r="G14" t="s">
        <v>62</v>
      </c>
    </row>
    <row r="15" spans="2:9" x14ac:dyDescent="0.3">
      <c r="C15" s="12"/>
    </row>
    <row r="16" spans="2:9" x14ac:dyDescent="0.3">
      <c r="B16" s="15"/>
      <c r="C16" s="12"/>
      <c r="D16" s="13"/>
      <c r="E16" s="13"/>
      <c r="F16" s="13"/>
      <c r="I16" s="73"/>
    </row>
    <row r="17" spans="1:17" ht="15" thickBot="1" x14ac:dyDescent="0.35">
      <c r="C17" s="320" t="s">
        <v>64</v>
      </c>
      <c r="D17" s="320"/>
      <c r="E17" s="320"/>
      <c r="F17" s="320"/>
    </row>
    <row r="18" spans="1:17" ht="15" thickBot="1" x14ac:dyDescent="0.35">
      <c r="A18" s="341" t="s">
        <v>43</v>
      </c>
      <c r="B18" s="341"/>
      <c r="C18" s="118" t="b">
        <v>0</v>
      </c>
      <c r="D18" s="69" t="s">
        <v>43</v>
      </c>
      <c r="E18" s="69" t="s">
        <v>23</v>
      </c>
      <c r="F18" s="125" t="e">
        <f>IF(G31=TRUE,_xlfn.FLOOR.MATH(Calculator!F20/(1-'Loan Options Sheet'!DD58),1000),IF(H31=TRUE,_xlfn.FLOOR.MATH(Calculator!F20+'Loan Options Sheet'!DK58,1000),Calculator!F20))</f>
        <v>#DIV/0!</v>
      </c>
      <c r="G18" s="331" t="s">
        <v>65</v>
      </c>
      <c r="H18" s="332"/>
      <c r="I18" s="136">
        <f>IF(BoolDTI57 = TRUE,ValueDTI57,IF(BoolDTI50 = TRUE,ValueDTI50,IF(BoolDTI45 = TRUE,ValueDTI45,IF(BoolDTI41 = TRUE,ValueDTI41,IF(BoolDTI36 = TRUE,ValueDTI36,IF(BoolDTI31 = TRUE,ValueDTI31,IF(BoolDTI47 = TRUE,1,0)))))))</f>
        <v>0.44900000000000001</v>
      </c>
    </row>
    <row r="19" spans="1:17" ht="29.4" thickBot="1" x14ac:dyDescent="0.35">
      <c r="A19" s="341"/>
      <c r="B19" s="341"/>
      <c r="C19" s="69" t="s">
        <v>44</v>
      </c>
      <c r="D19" s="120">
        <f>_xlfn.FLOOR.MATH(IF(DTI*'Loan Options Sheet'!BT29-'Loan Options Sheet'!CP29&lt;ValueDTI47*'Loan Options Sheet'!BT29-HousingPayment,DTI*'Loan Options Sheet'!BT29-'Loan Options Sheet'!CP29,ValueDTI47*'Loan Options Sheet'!BT29-HousingPayment),1)</f>
        <v>0</v>
      </c>
      <c r="E19" s="119" t="s">
        <v>66</v>
      </c>
      <c r="F19" s="125" t="e">
        <f>N30</f>
        <v>#DIV/0!</v>
      </c>
      <c r="G19" s="133">
        <v>0.56899999999999995</v>
      </c>
      <c r="H19" s="131" t="b">
        <v>0</v>
      </c>
      <c r="I19" s="135">
        <v>0.46899999999999997</v>
      </c>
      <c r="J19" s="134" t="b">
        <v>1</v>
      </c>
    </row>
    <row r="20" spans="1:17" x14ac:dyDescent="0.3">
      <c r="A20" s="341"/>
      <c r="B20" s="341"/>
      <c r="E20" s="69" t="s">
        <v>54</v>
      </c>
      <c r="F20" s="125" t="e">
        <f>_xlfn.FLOOR.MATH(F19/1.0175,1000)</f>
        <v>#DIV/0!</v>
      </c>
      <c r="G20" s="126">
        <v>0.499</v>
      </c>
      <c r="H20" s="135" t="b">
        <v>0</v>
      </c>
      <c r="I20" s="127"/>
    </row>
    <row r="21" spans="1:17" x14ac:dyDescent="0.3">
      <c r="A21" s="341"/>
      <c r="B21" s="341"/>
      <c r="G21" s="126">
        <v>0.44900000000000001</v>
      </c>
      <c r="H21" s="6" t="b">
        <v>1</v>
      </c>
      <c r="I21" s="127"/>
    </row>
    <row r="22" spans="1:17" x14ac:dyDescent="0.3">
      <c r="A22" s="342" t="s">
        <v>42</v>
      </c>
      <c r="B22" s="342"/>
      <c r="C22" s="118" t="b">
        <v>1</v>
      </c>
      <c r="D22" s="69" t="s">
        <v>42</v>
      </c>
      <c r="E22" s="69" t="s">
        <v>23</v>
      </c>
      <c r="F22" s="125" t="e">
        <f>IF(G31=TRUE,_xlfn.FLOOR.MATH(Calculator!F23/(1-'Loan Options Sheet'!DD58),1000),IF(H31=TRUE,_xlfn.FLOOR.MATH(Calculator!F23+'Loan Options Sheet'!DK58,1000),Calculator!F23))</f>
        <v>#DIV/0!</v>
      </c>
      <c r="G22" s="126">
        <v>0.40899999999999997</v>
      </c>
      <c r="H22" s="6" t="b">
        <v>0</v>
      </c>
      <c r="I22" s="127"/>
      <c r="Q22" s="369"/>
    </row>
    <row r="23" spans="1:17" x14ac:dyDescent="0.3">
      <c r="A23" s="342"/>
      <c r="B23" s="342"/>
      <c r="E23" s="69" t="s">
        <v>54</v>
      </c>
      <c r="F23" s="125" t="e">
        <f>IF(Calculator!D26=TRUE,O30,IF(Calculator!D27=TRUE,O32,O34))</f>
        <v>#DIV/0!</v>
      </c>
      <c r="G23" s="126">
        <v>0.35899999999999999</v>
      </c>
      <c r="H23" s="6" t="b">
        <v>0</v>
      </c>
      <c r="I23" s="127"/>
      <c r="Q23" s="369"/>
    </row>
    <row r="24" spans="1:17" ht="15" thickBot="1" x14ac:dyDescent="0.35">
      <c r="A24" s="342"/>
      <c r="B24" s="342"/>
      <c r="C24" s="69" t="s">
        <v>44</v>
      </c>
      <c r="D24" s="120">
        <f>_xlfn.FLOOR.MATH('Loan Options Sheet'!BT29*I18-'Loan Options Sheet'!CP29,1)</f>
        <v>0</v>
      </c>
      <c r="G24" s="128">
        <v>0.309</v>
      </c>
      <c r="H24" s="130" t="b">
        <v>0</v>
      </c>
      <c r="I24" s="129"/>
      <c r="Q24" s="370"/>
    </row>
    <row r="25" spans="1:17" x14ac:dyDescent="0.3">
      <c r="A25" s="342"/>
      <c r="B25" s="342"/>
      <c r="C25" s="69" t="s">
        <v>59</v>
      </c>
      <c r="D25" s="6" t="b">
        <v>1</v>
      </c>
      <c r="E25" s="69" t="s">
        <v>43</v>
      </c>
      <c r="Q25" s="370"/>
    </row>
    <row r="26" spans="1:17" x14ac:dyDescent="0.3">
      <c r="C26" s="69" t="s">
        <v>49</v>
      </c>
      <c r="D26" s="6" t="b">
        <v>1</v>
      </c>
      <c r="G26" s="319" t="s">
        <v>67</v>
      </c>
      <c r="H26" s="319"/>
      <c r="Q26" s="370"/>
    </row>
    <row r="27" spans="1:17" x14ac:dyDescent="0.3">
      <c r="C27" s="69" t="s">
        <v>63</v>
      </c>
      <c r="D27" s="6" t="b">
        <v>0</v>
      </c>
      <c r="G27" s="69" t="s">
        <v>43</v>
      </c>
      <c r="H27" s="6">
        <f>_xlfn.CEILING.MATH('Back End'!A12*'Loan Options Sheet'!DD51/12,1)</f>
        <v>0</v>
      </c>
      <c r="L27" s="183"/>
      <c r="M27" s="183"/>
    </row>
    <row r="28" spans="1:17" x14ac:dyDescent="0.3">
      <c r="C28" s="69" t="s">
        <v>68</v>
      </c>
      <c r="D28" s="6" t="b">
        <v>0</v>
      </c>
      <c r="E28" s="6" t="b">
        <v>0</v>
      </c>
      <c r="G28" s="69" t="s">
        <v>42</v>
      </c>
      <c r="H28" s="6">
        <f>IF(AND(Calculator!D25=TRUE,Calculator!D26=TRUE),_xlfn.CEILING.MATH('Loan Options Sheet'!DD51*'Loan Options Sheet'!BM56/12,1),0)</f>
        <v>0</v>
      </c>
      <c r="L28" s="322" t="s">
        <v>69</v>
      </c>
      <c r="M28" s="322"/>
      <c r="N28" s="321" t="s">
        <v>43</v>
      </c>
      <c r="O28" s="321" t="s">
        <v>42</v>
      </c>
    </row>
    <row r="29" spans="1:17" x14ac:dyDescent="0.3">
      <c r="L29" s="322"/>
      <c r="M29" s="322"/>
      <c r="N29" s="321"/>
      <c r="O29" s="321"/>
    </row>
    <row r="30" spans="1:17" x14ac:dyDescent="0.3">
      <c r="C30" s="69" t="s">
        <v>56</v>
      </c>
      <c r="D30" s="6">
        <f>IF(Calculator!C18=TRUE,Calculator!D31,IF(Calculator!C22=TRUE,Calculator!D32,0))</f>
        <v>0</v>
      </c>
      <c r="F30" s="69" t="s">
        <v>31</v>
      </c>
      <c r="G30" s="69" t="s">
        <v>70</v>
      </c>
      <c r="H30" s="69" t="s">
        <v>71</v>
      </c>
      <c r="L30" s="325" t="s">
        <v>54</v>
      </c>
      <c r="M30" s="326"/>
      <c r="N30" s="329" t="e" cm="1">
        <f t="array" ref="N30">MIN(_xlfn.FLOOR.MATH(((MaxPMTFHA-2)-'Loan Options Sheet'!CH54-'Loan Options Sheet'!CH55-'Loan Options Sheet'!CH57)/(('Loan Options Sheet'!BM56/12)+M36*RATE/(12*(M36-1))),1000),_xlfn.FLOOR.MATH(LOANLIMIT.FHA*1.0175,1000))</f>
        <v>#DIV/0!</v>
      </c>
      <c r="O30" s="323" t="e">
        <f>MIN(_xlfn.FLOOR.MATH(((MaxPMTConv-2)-'Loan Options Sheet'!CH54-'Loan Options Sheet'!CH55-'Loan Options Sheet'!CH57)/(('Loan Options Sheet'!BM56/12)+(M36*(RATE/12))/(M36-1)),1000),C.LOANLIMIT)</f>
        <v>#DIV/0!</v>
      </c>
      <c r="P30" s="318" t="s">
        <v>67</v>
      </c>
    </row>
    <row r="31" spans="1:17" x14ac:dyDescent="0.3">
      <c r="C31" s="69" t="s">
        <v>43</v>
      </c>
      <c r="D31" s="6">
        <f>_xlfn.FLOOR.MATH(PMT(RATE/12,360,-'Loan Options Sheet'!DD51*1.0175),1)</f>
        <v>0</v>
      </c>
      <c r="G31" s="6" t="b">
        <v>0</v>
      </c>
      <c r="H31" s="6" t="b">
        <v>1</v>
      </c>
      <c r="L31" s="327"/>
      <c r="M31" s="328"/>
      <c r="N31" s="330"/>
      <c r="O31" s="324"/>
      <c r="P31" s="318"/>
    </row>
    <row r="32" spans="1:17" x14ac:dyDescent="0.3">
      <c r="C32" s="69" t="s">
        <v>42</v>
      </c>
      <c r="D32" s="6">
        <f>IF(Calculator!$D$27 = TRUE, _xlfn.FLOOR.MATH(PMT(RATE/12,360,-'Loan Options Sheet'!$DD$51*(1+'Loan Options Sheet'!$BM$57)),1), _xlfn.FLOOR.MATH(PMT(RATE/12,360,-'Loan Options Sheet'!$DD$51),1))</f>
        <v>0</v>
      </c>
      <c r="O32" s="323" t="e">
        <f>MIN(_xlfn.FLOOR.MATH((((MaxPMTConv-2)-'Loan Options Sheet'!CH54-'Loan Options Sheet'!CH55-'Loan Options Sheet'!CH57)/((M36*(RATE/12))/(M36-1)))/(1+'Loan Options Sheet'!BM57),1000),C.LOANLIMIT)</f>
        <v>#DIV/0!</v>
      </c>
      <c r="P32" s="318" t="s">
        <v>72</v>
      </c>
    </row>
    <row r="33" spans="3:16" x14ac:dyDescent="0.3">
      <c r="F33" s="319" t="s">
        <v>73</v>
      </c>
      <c r="G33" s="319"/>
      <c r="H33" s="319"/>
      <c r="O33" s="324"/>
      <c r="P33" s="318"/>
    </row>
    <row r="34" spans="3:16" x14ac:dyDescent="0.3">
      <c r="C34" s="6" t="s">
        <v>23</v>
      </c>
      <c r="D34" s="5">
        <f>IF(D56=TRUE,_xlfn.FLOOR.MATH(IF(Calculator!C18=TRUE,Calculator!F18,IF(Calculator!C22,Calculator!F22,0)),1000),0)</f>
        <v>0</v>
      </c>
      <c r="F34" s="69" t="s">
        <v>74</v>
      </c>
      <c r="G34" s="69" t="s">
        <v>75</v>
      </c>
      <c r="H34" s="69" t="s">
        <v>76</v>
      </c>
      <c r="O34" s="323" t="e">
        <f>MIN(_xlfn.FLOOR.MATH(((MaxPMTConv-2)-'Loan Options Sheet'!CH54-'Loan Options Sheet'!CH55-'Loan Options Sheet'!CH57)/((M36*(RATE/12))/(M36-1)),1000),C.LOANLIMIT)</f>
        <v>#DIV/0!</v>
      </c>
      <c r="P34" s="318" t="s">
        <v>77</v>
      </c>
    </row>
    <row r="35" spans="3:16" x14ac:dyDescent="0.3">
      <c r="F35" s="6" t="b">
        <v>1</v>
      </c>
      <c r="G35" s="6" t="b">
        <v>0</v>
      </c>
      <c r="H35" s="6" t="b">
        <v>0</v>
      </c>
      <c r="M35" s="181"/>
      <c r="O35" s="324"/>
      <c r="P35" s="318"/>
    </row>
    <row r="36" spans="3:16" x14ac:dyDescent="0.3">
      <c r="L36" s="69" t="s">
        <v>78</v>
      </c>
      <c r="M36" s="182">
        <f>(1+RATE/12)^TERM</f>
        <v>1</v>
      </c>
    </row>
    <row r="37" spans="3:16" x14ac:dyDescent="0.3">
      <c r="L37" s="69" t="s">
        <v>78</v>
      </c>
      <c r="M37" s="182">
        <f>(1+(RATE+0.02)/12)^120</f>
        <v>1.2211994338625185</v>
      </c>
    </row>
    <row r="38" spans="3:16" x14ac:dyDescent="0.3">
      <c r="C38" s="320" t="s">
        <v>79</v>
      </c>
      <c r="D38" s="320"/>
      <c r="E38" s="320"/>
      <c r="F38" s="320"/>
      <c r="N38" t="s">
        <v>80</v>
      </c>
    </row>
    <row r="39" spans="3:16" ht="15" thickBot="1" x14ac:dyDescent="0.35">
      <c r="C39" s="186" t="s">
        <v>56</v>
      </c>
      <c r="D39" s="187">
        <f>IF(Calculator!C18=TRUE,Calculator!D40,IF(Calculator!C22=TRUE,Calculator!D41,0))</f>
        <v>0</v>
      </c>
      <c r="E39" s="186" t="s">
        <v>67</v>
      </c>
      <c r="F39" s="187">
        <f>IF(Calculator!C18=TRUE,Calculator!F40,IF(Calculator!C22=TRUE,Calculator!F41,0))</f>
        <v>0</v>
      </c>
      <c r="M39" t="s">
        <v>44</v>
      </c>
      <c r="N39" s="188" t="e" cm="1">
        <f t="array" ref="N39">MIN(_xlfn.FLOOR.MATH(((MaxPMTFHA-2)-'Loan Options Sheet'!CH54-'Loan Options Sheet'!CH55-'Loan Options Sheet'!CH57)/(('Loan Options Sheet'!BM56/12)+M36*RATE/(12*(M36-1))+0.05*1.0175*M37*(RATE+0.02)/(12*(M37-1))),1000),_xlfn.FLOOR.MATH(LOANLIMIT.FHA*1.0175,1000))</f>
        <v>#DIV/0!</v>
      </c>
    </row>
    <row r="40" spans="3:16" x14ac:dyDescent="0.3">
      <c r="C40" s="184" t="s">
        <v>43</v>
      </c>
      <c r="D40" s="185">
        <f>_xlfn.FLOOR.MATH(PMT(RATE/12,TERM,-'Loan Options Sheet'!DD51*1.0175),1)</f>
        <v>0</v>
      </c>
      <c r="E40" s="184" t="s">
        <v>43</v>
      </c>
      <c r="F40" s="185">
        <f>_xlfn.CEILING.MATH('Loan Options Sheet'!DD51*'Back End'!A12/12,1)</f>
        <v>0</v>
      </c>
      <c r="M40" t="s">
        <v>81</v>
      </c>
      <c r="N40" s="188" t="e" cm="1">
        <f t="array" ref="N40">MIN(_xlfn.FLOOR.MATH(((M41-2)-'Loan Options Sheet'!CH54-'Loan Options Sheet'!CH55-'Loan Options Sheet'!CH57)/(('Loan Options Sheet'!BM56/12)+M36*RATE/(12*(M36-1))+0.05*1.0175*M37*(RATE+0.02)/(12*(M37-1))),1000),_xlfn.FLOOR.MATH(LOANLIMIT.FHA*1.0175,1000))</f>
        <v>#DIV/0!</v>
      </c>
    </row>
    <row r="41" spans="3:16" x14ac:dyDescent="0.3">
      <c r="C41" s="69" t="s">
        <v>42</v>
      </c>
      <c r="D41" s="5">
        <f>IF(Calculator!D27 = TRUE, _xlfn.FLOOR.MATH(PMT(RATE/12,TERM,-'Loan Options Sheet'!DD51*(1+'Loan Options Sheet'!BM57)),1), _xlfn.FLOOR.MATH(PMT(RATE/12,TERM,-'Loan Options Sheet'!DD51),1))</f>
        <v>0</v>
      </c>
      <c r="E41" s="69" t="s">
        <v>42</v>
      </c>
      <c r="F41" s="5">
        <f>_xlfn.CEILING.MATH('Loan Options Sheet'!DD51*'Loan Options Sheet'!BM56/12,1)</f>
        <v>0</v>
      </c>
      <c r="M41" s="189">
        <v>875</v>
      </c>
    </row>
    <row r="44" spans="3:16" x14ac:dyDescent="0.3">
      <c r="C44" s="320" t="s">
        <v>79</v>
      </c>
      <c r="D44" s="320"/>
      <c r="E44" s="320"/>
      <c r="F44" s="320"/>
    </row>
    <row r="45" spans="3:16" x14ac:dyDescent="0.3">
      <c r="C45" s="69" t="s">
        <v>82</v>
      </c>
      <c r="D45" s="143">
        <f>IF(D56=TRUE,SUM('Loan Options Sheet'!CH53:CQ57),0)</f>
        <v>0</v>
      </c>
      <c r="E45" s="69" t="s">
        <v>83</v>
      </c>
      <c r="F45" s="145">
        <f>IF(D56=TRUE,IF(Calculator!C22=TRUE,Calculator!H28,IF(Calculator!C18, Calculator!H27,0)),0)</f>
        <v>0</v>
      </c>
      <c r="G45" s="69" t="s">
        <v>84</v>
      </c>
      <c r="H45" s="145">
        <f>IF(D56=TRUE,IF(Calculator!C18=TRUE,Calculator!D40,IF(Calculator!C22=TRUE,Calculator!D41,0)),0)</f>
        <v>0</v>
      </c>
      <c r="I45" s="12"/>
      <c r="J45" s="14"/>
    </row>
    <row r="46" spans="3:16" x14ac:dyDescent="0.3">
      <c r="C46" s="69" t="s">
        <v>85</v>
      </c>
      <c r="D46" s="144">
        <f>IF(AND(D56=TRUE,H35=TRUE),'Loan Options Sheet'!CH58,0)</f>
        <v>0</v>
      </c>
      <c r="E46" s="69" t="s">
        <v>86</v>
      </c>
      <c r="F46" s="145">
        <f>IF(D56=TRUE,IF(C18=TRUE,_xlfn.CEILING.MATH('Back End'!A12*F49/12,1),IF(AND(Calculator!D25=TRUE,Calculator!D26=TRUE),_xlfn.CEILING.MATH(F51*'Loan Options Sheet'!BM56/12,1),0)),0)</f>
        <v>0</v>
      </c>
      <c r="G46" s="69" t="s">
        <v>87</v>
      </c>
      <c r="H46" s="145">
        <f>IF(AND(D56=TRUE,H35=TRUE),'Loan Options Sheet'!CH58-'Loan Options Sheet'!CH57-'Loan Options Sheet'!CH56-'Loan Options Sheet'!CH55-'Loan Options Sheet'!CH54,0)</f>
        <v>0</v>
      </c>
      <c r="I46" s="12"/>
      <c r="J46" s="14"/>
    </row>
    <row r="47" spans="3:16" x14ac:dyDescent="0.3">
      <c r="D47" s="69" t="s">
        <v>43</v>
      </c>
      <c r="E47" s="69" t="s">
        <v>23</v>
      </c>
      <c r="F47" s="5">
        <f>IF(G31=TRUE,_xlfn.FLOOR.MATH(F49/(1-'Loan Options Sheet'!$DD$58),100),IF(Calculator!H31=TRUE,F49+'Loan Options Sheet'!DK58,F49))</f>
        <v>0</v>
      </c>
      <c r="I47" s="12"/>
      <c r="J47" s="14"/>
    </row>
    <row r="48" spans="3:16" ht="28.8" x14ac:dyDescent="0.3">
      <c r="E48" s="119" t="s">
        <v>66</v>
      </c>
      <c r="F48" s="5" cm="1">
        <f t="array" ref="F48">MIN(_xlfn.FLOOR.MATH(-PV(RATE/12,TERM,H46),1000),_xlfn.FLOOR.MATH((LOANLIMIT.FHA)*1.0175,1000))</f>
        <v>0</v>
      </c>
    </row>
    <row r="49" spans="3:6" x14ac:dyDescent="0.3">
      <c r="E49" s="69" t="s">
        <v>54</v>
      </c>
      <c r="F49" s="5">
        <f>_xlfn.FLOOR.MATH(F48/1.0175,1000)</f>
        <v>0</v>
      </c>
    </row>
    <row r="50" spans="3:6" x14ac:dyDescent="0.3">
      <c r="D50" s="69" t="s">
        <v>42</v>
      </c>
      <c r="E50" s="69" t="s">
        <v>23</v>
      </c>
      <c r="F50" s="5">
        <f>IF(G31=TRUE,_xlfn.FLOOR.MATH(Calculator!F51/(1-'Loan Options Sheet'!$DD$58),100),IF(H31 = TRUE,F51+'Loan Options Sheet'!DK58,Calculator!F51))</f>
        <v>0</v>
      </c>
    </row>
    <row r="51" spans="3:6" x14ac:dyDescent="0.3">
      <c r="E51" s="69" t="s">
        <v>54</v>
      </c>
      <c r="F51" s="5">
        <f>MIN(IF(Calculator!D26=TRUE,-PV(RATE/12,TERM,H46),IF(Calculator!D27=TRUE,-PV(RATE/12,TERM,H46)/(1+'Loan Options Sheet'!BM57),-PV(RATE/12,TERM,H46))),C.LOANLIMIT)</f>
        <v>0</v>
      </c>
    </row>
    <row r="53" spans="3:6" x14ac:dyDescent="0.3">
      <c r="D53" s="69" t="s">
        <v>23</v>
      </c>
      <c r="E53" s="5">
        <f>IF(Calculator!C18=TRUE,Calculator!F47,IF(Calculator!C22,Calculator!F50,0))</f>
        <v>0</v>
      </c>
    </row>
    <row r="56" spans="3:6" x14ac:dyDescent="0.3">
      <c r="C56" s="69" t="s">
        <v>88</v>
      </c>
      <c r="D56" s="6" t="b">
        <v>0</v>
      </c>
    </row>
  </sheetData>
  <mergeCells count="26">
    <mergeCell ref="A22:B25"/>
    <mergeCell ref="B11:D11"/>
    <mergeCell ref="B12:D12"/>
    <mergeCell ref="C17:F17"/>
    <mergeCell ref="G18:H18"/>
    <mergeCell ref="B6:D6"/>
    <mergeCell ref="B9:D9"/>
    <mergeCell ref="B10:D10"/>
    <mergeCell ref="B8:D8"/>
    <mergeCell ref="B7:D7"/>
    <mergeCell ref="A18:B21"/>
    <mergeCell ref="P34:P35"/>
    <mergeCell ref="F33:H33"/>
    <mergeCell ref="C38:F38"/>
    <mergeCell ref="C44:F44"/>
    <mergeCell ref="G26:H26"/>
    <mergeCell ref="N28:N29"/>
    <mergeCell ref="O28:O29"/>
    <mergeCell ref="L28:M29"/>
    <mergeCell ref="O34:O35"/>
    <mergeCell ref="L30:M31"/>
    <mergeCell ref="N30:N31"/>
    <mergeCell ref="O30:O31"/>
    <mergeCell ref="P30:P31"/>
    <mergeCell ref="O32:O33"/>
    <mergeCell ref="P32:P3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0" r:id="rId4" name="Check Box 14">
              <controlPr defaultSize="0" autoFill="0" autoLine="0" autoPict="0">
                <anchor moveWithCells="1">
                  <from>
                    <xdr:col>6</xdr:col>
                    <xdr:colOff>335280</xdr:colOff>
                    <xdr:row>6</xdr:row>
                    <xdr:rowOff>30480</xdr:rowOff>
                  </from>
                  <to>
                    <xdr:col>6</xdr:col>
                    <xdr:colOff>563880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5" name="Check Box 15">
              <controlPr defaultSize="0" autoFill="0" autoLine="0" autoPict="0">
                <anchor moveWithCells="1">
                  <from>
                    <xdr:col>6</xdr:col>
                    <xdr:colOff>335280</xdr:colOff>
                    <xdr:row>7</xdr:row>
                    <xdr:rowOff>0</xdr:rowOff>
                  </from>
                  <to>
                    <xdr:col>6</xdr:col>
                    <xdr:colOff>563880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6" name="Check Box 16">
              <controlPr defaultSize="0" autoFill="0" autoLine="0" autoPict="0">
                <anchor moveWithCells="1">
                  <from>
                    <xdr:col>6</xdr:col>
                    <xdr:colOff>335280</xdr:colOff>
                    <xdr:row>8</xdr:row>
                    <xdr:rowOff>30480</xdr:rowOff>
                  </from>
                  <to>
                    <xdr:col>6</xdr:col>
                    <xdr:colOff>563880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7" name="Check Box 17">
              <controlPr defaultSize="0" autoFill="0" autoLine="0" autoPict="0">
                <anchor moveWithCells="1">
                  <from>
                    <xdr:col>6</xdr:col>
                    <xdr:colOff>335280</xdr:colOff>
                    <xdr:row>9</xdr:row>
                    <xdr:rowOff>30480</xdr:rowOff>
                  </from>
                  <to>
                    <xdr:col>6</xdr:col>
                    <xdr:colOff>563880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8" name="Check Box 18">
              <controlPr defaultSize="0" autoFill="0" autoLine="0" autoPict="0">
                <anchor moveWithCells="1">
                  <from>
                    <xdr:col>6</xdr:col>
                    <xdr:colOff>335280</xdr:colOff>
                    <xdr:row>9</xdr:row>
                    <xdr:rowOff>175260</xdr:rowOff>
                  </from>
                  <to>
                    <xdr:col>6</xdr:col>
                    <xdr:colOff>563880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9" name="Check Box 19">
              <controlPr defaultSize="0" autoFill="0" autoLine="0" autoPict="0">
                <anchor moveWithCells="1">
                  <from>
                    <xdr:col>6</xdr:col>
                    <xdr:colOff>335280</xdr:colOff>
                    <xdr:row>11</xdr:row>
                    <xdr:rowOff>38100</xdr:rowOff>
                  </from>
                  <to>
                    <xdr:col>6</xdr:col>
                    <xdr:colOff>541020</xdr:colOff>
                    <xdr:row>11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6B784-63CD-4C74-BFEF-7CD304E4D8A8}">
  <sheetPr codeName="Sheet3"/>
  <dimension ref="A1:R53"/>
  <sheetViews>
    <sheetView zoomScaleNormal="100" workbookViewId="0">
      <selection activeCell="F23" sqref="F23"/>
    </sheetView>
  </sheetViews>
  <sheetFormatPr defaultRowHeight="14.4" x14ac:dyDescent="0.3"/>
  <cols>
    <col min="3" max="3" width="26.77734375" customWidth="1"/>
    <col min="4" max="4" width="28.77734375" customWidth="1"/>
    <col min="5" max="5" width="27.88671875" customWidth="1"/>
    <col min="6" max="6" width="29.88671875" customWidth="1"/>
    <col min="7" max="7" width="31.109375" customWidth="1"/>
    <col min="8" max="8" width="24.44140625" customWidth="1"/>
    <col min="9" max="9" width="31.21875" customWidth="1"/>
    <col min="10" max="10" width="36.88671875" customWidth="1"/>
    <col min="11" max="11" width="30.44140625" customWidth="1"/>
    <col min="12" max="12" width="32.88671875" customWidth="1"/>
    <col min="13" max="13" width="38.109375" customWidth="1"/>
    <col min="14" max="14" width="35.109375" customWidth="1"/>
    <col min="15" max="15" width="42.21875" customWidth="1"/>
    <col min="16" max="16" width="40.21875" customWidth="1"/>
    <col min="17" max="17" width="36.44140625" customWidth="1"/>
    <col min="18" max="18" width="37" customWidth="1"/>
  </cols>
  <sheetData>
    <row r="1" spans="1:18" ht="65.25" customHeight="1" thickBot="1" x14ac:dyDescent="0.35">
      <c r="C1" s="346" t="s">
        <v>52</v>
      </c>
      <c r="D1" s="347"/>
      <c r="E1" s="348" t="s">
        <v>53</v>
      </c>
      <c r="F1" s="349"/>
      <c r="G1" s="350" t="s">
        <v>55</v>
      </c>
      <c r="H1" s="351"/>
      <c r="I1" s="358" t="s">
        <v>89</v>
      </c>
      <c r="J1" s="349"/>
      <c r="K1" s="350" t="s">
        <v>90</v>
      </c>
      <c r="L1" s="351"/>
      <c r="M1" s="348" t="s">
        <v>91</v>
      </c>
      <c r="N1" s="349"/>
      <c r="O1" s="350" t="s">
        <v>92</v>
      </c>
      <c r="P1" s="351"/>
      <c r="Q1" s="348" t="s">
        <v>93</v>
      </c>
      <c r="R1" s="349"/>
    </row>
    <row r="2" spans="1:18" ht="15" thickBot="1" x14ac:dyDescent="0.35">
      <c r="A2" t="s">
        <v>94</v>
      </c>
      <c r="B2" t="s">
        <v>95</v>
      </c>
      <c r="C2" s="32" t="s">
        <v>49</v>
      </c>
      <c r="D2" s="33" t="s">
        <v>50</v>
      </c>
      <c r="E2" s="36" t="s">
        <v>49</v>
      </c>
      <c r="F2" s="37" t="s">
        <v>50</v>
      </c>
      <c r="G2" s="32" t="s">
        <v>49</v>
      </c>
      <c r="H2" s="33" t="s">
        <v>50</v>
      </c>
      <c r="I2" s="36" t="s">
        <v>50</v>
      </c>
      <c r="J2" s="37" t="s">
        <v>96</v>
      </c>
      <c r="K2" s="32" t="s">
        <v>50</v>
      </c>
      <c r="L2" s="33" t="s">
        <v>96</v>
      </c>
      <c r="M2" s="36" t="s">
        <v>49</v>
      </c>
      <c r="N2" s="37" t="s">
        <v>50</v>
      </c>
      <c r="O2" s="32" t="s">
        <v>50</v>
      </c>
      <c r="P2" s="33" t="s">
        <v>97</v>
      </c>
      <c r="Q2" s="36" t="s">
        <v>96</v>
      </c>
      <c r="R2" s="37" t="s">
        <v>50</v>
      </c>
    </row>
    <row r="3" spans="1:18" x14ac:dyDescent="0.3">
      <c r="C3" s="34">
        <v>62</v>
      </c>
      <c r="D3" s="35">
        <v>1500</v>
      </c>
      <c r="E3" s="38">
        <v>810</v>
      </c>
      <c r="F3" s="39">
        <v>50000</v>
      </c>
      <c r="G3" s="34">
        <v>150</v>
      </c>
      <c r="H3" s="35">
        <v>2000</v>
      </c>
      <c r="I3" s="38">
        <v>110000</v>
      </c>
      <c r="J3" s="41">
        <f>IF('Back End'!$E$17 = TRUE, 0.01,IF('Back End'!$E$18 = TRUE, 0.005, IF('Back End'!$E$19 = TRUE, 0.005)))*I3</f>
        <v>550</v>
      </c>
      <c r="K3" s="34"/>
      <c r="L3" s="35">
        <f>(0.05*K3)/12</f>
        <v>0</v>
      </c>
      <c r="M3" s="38"/>
      <c r="N3" s="39"/>
      <c r="O3" s="34"/>
      <c r="P3" s="35">
        <f>0.05*O3</f>
        <v>0</v>
      </c>
      <c r="Q3" s="38">
        <v>2000</v>
      </c>
      <c r="R3" s="72">
        <v>300000</v>
      </c>
    </row>
    <row r="4" spans="1:18" x14ac:dyDescent="0.3">
      <c r="C4" s="28">
        <v>32</v>
      </c>
      <c r="D4" s="16">
        <v>900</v>
      </c>
      <c r="E4" s="40">
        <v>380</v>
      </c>
      <c r="F4" s="41">
        <v>2500</v>
      </c>
      <c r="G4" s="28"/>
      <c r="H4" s="16"/>
      <c r="I4" s="40"/>
      <c r="J4" s="41">
        <f>IF('Back End'!$E$17 = TRUE, 0.01,IF('Back End'!$E$18 = TRUE, 0.005, IF('Back End'!$E$19 = TRUE, 0.005)))*I4</f>
        <v>0</v>
      </c>
      <c r="K4" s="28"/>
      <c r="L4" s="16">
        <f>(0.05*K4)/12</f>
        <v>0</v>
      </c>
      <c r="M4" s="40"/>
      <c r="N4" s="41"/>
      <c r="O4" s="28"/>
      <c r="P4" s="16">
        <f t="shared" ref="P4:P50" si="0">0.05*O4</f>
        <v>0</v>
      </c>
      <c r="Q4" s="40"/>
      <c r="R4" s="41"/>
    </row>
    <row r="5" spans="1:18" x14ac:dyDescent="0.3">
      <c r="C5" s="28"/>
      <c r="D5" s="16"/>
      <c r="E5" s="40"/>
      <c r="F5" s="41"/>
      <c r="G5" s="28"/>
      <c r="H5" s="16"/>
      <c r="I5" s="40"/>
      <c r="J5" s="41">
        <f>IF('Back End'!$E$17 = TRUE, 0.01,IF('Back End'!$E$18 = TRUE, 0.005, IF('Back End'!$E$19 = TRUE, 0.005)))*I5</f>
        <v>0</v>
      </c>
      <c r="K5" s="28"/>
      <c r="L5" s="16">
        <f t="shared" ref="L5:L50" si="1">(0.05*K5)/12</f>
        <v>0</v>
      </c>
      <c r="M5" s="40"/>
      <c r="N5" s="41"/>
      <c r="O5" s="28"/>
      <c r="P5" s="16">
        <f t="shared" si="0"/>
        <v>0</v>
      </c>
      <c r="Q5" s="40"/>
      <c r="R5" s="41"/>
    </row>
    <row r="6" spans="1:18" x14ac:dyDescent="0.3">
      <c r="C6" s="28"/>
      <c r="D6" s="16"/>
      <c r="E6" s="40"/>
      <c r="F6" s="41"/>
      <c r="G6" s="28"/>
      <c r="H6" s="16"/>
      <c r="I6" s="40"/>
      <c r="J6" s="41">
        <f>IF('Back End'!$E$17 = TRUE, 0.01,IF('Back End'!$E$18 = TRUE, 0.005, IF('Back End'!$E$19 = TRUE, 0.005)))*I6</f>
        <v>0</v>
      </c>
      <c r="K6" s="28"/>
      <c r="L6" s="16">
        <f t="shared" si="1"/>
        <v>0</v>
      </c>
      <c r="M6" s="40"/>
      <c r="N6" s="41"/>
      <c r="O6" s="28"/>
      <c r="P6" s="16">
        <f t="shared" si="0"/>
        <v>0</v>
      </c>
      <c r="Q6" s="40"/>
      <c r="R6" s="41"/>
    </row>
    <row r="7" spans="1:18" x14ac:dyDescent="0.3">
      <c r="C7" s="28"/>
      <c r="D7" s="16"/>
      <c r="E7" s="40"/>
      <c r="F7" s="41"/>
      <c r="G7" s="28"/>
      <c r="H7" s="16"/>
      <c r="I7" s="40"/>
      <c r="J7" s="41">
        <f>IF('Back End'!$E$17 = TRUE, 0.01,IF('Back End'!$E$18 = TRUE, 0.005, IF('Back End'!$E$19 = TRUE, 0.005)))*I7</f>
        <v>0</v>
      </c>
      <c r="K7" s="28"/>
      <c r="L7" s="16">
        <f t="shared" si="1"/>
        <v>0</v>
      </c>
      <c r="M7" s="40"/>
      <c r="N7" s="41"/>
      <c r="O7" s="28"/>
      <c r="P7" s="16">
        <f t="shared" si="0"/>
        <v>0</v>
      </c>
      <c r="Q7" s="40"/>
      <c r="R7" s="41"/>
    </row>
    <row r="8" spans="1:18" x14ac:dyDescent="0.3">
      <c r="C8" s="28"/>
      <c r="D8" s="16"/>
      <c r="E8" s="40"/>
      <c r="F8" s="41"/>
      <c r="G8" s="28"/>
      <c r="H8" s="16"/>
      <c r="I8" s="40"/>
      <c r="J8" s="41">
        <f>IF('Back End'!$E$17 = TRUE, 0.01,IF('Back End'!$E$18 = TRUE, 0.005, IF('Back End'!$E$19 = TRUE, 0.005)))*I8</f>
        <v>0</v>
      </c>
      <c r="K8" s="28"/>
      <c r="L8" s="16">
        <f t="shared" si="1"/>
        <v>0</v>
      </c>
      <c r="M8" s="40"/>
      <c r="N8" s="41"/>
      <c r="O8" s="28"/>
      <c r="P8" s="16">
        <f t="shared" si="0"/>
        <v>0</v>
      </c>
      <c r="Q8" s="40"/>
      <c r="R8" s="41"/>
    </row>
    <row r="9" spans="1:18" x14ac:dyDescent="0.3">
      <c r="C9" s="28"/>
      <c r="D9" s="16"/>
      <c r="E9" s="40"/>
      <c r="F9" s="41"/>
      <c r="G9" s="28"/>
      <c r="H9" s="16"/>
      <c r="I9" s="40"/>
      <c r="J9" s="41">
        <f>IF('Back End'!$E$17 = TRUE, 0.01,IF('Back End'!$E$18 = TRUE, 0.005, IF('Back End'!$E$19 = TRUE, 0.005)))*I9</f>
        <v>0</v>
      </c>
      <c r="K9" s="28"/>
      <c r="L9" s="16">
        <f t="shared" si="1"/>
        <v>0</v>
      </c>
      <c r="M9" s="40"/>
      <c r="N9" s="41"/>
      <c r="O9" s="28"/>
      <c r="P9" s="16">
        <f t="shared" si="0"/>
        <v>0</v>
      </c>
      <c r="Q9" s="40"/>
      <c r="R9" s="41"/>
    </row>
    <row r="10" spans="1:18" x14ac:dyDescent="0.3">
      <c r="C10" s="28"/>
      <c r="D10" s="16"/>
      <c r="E10" s="40"/>
      <c r="F10" s="41"/>
      <c r="G10" s="28"/>
      <c r="H10" s="16"/>
      <c r="I10" s="40"/>
      <c r="J10" s="41">
        <f>IF('Back End'!$E$17 = TRUE, 0.01,IF('Back End'!$E$18 = TRUE, 0.005, IF('Back End'!$E$19 = TRUE, 0.005)))*I10</f>
        <v>0</v>
      </c>
      <c r="K10" s="28"/>
      <c r="L10" s="16">
        <f t="shared" si="1"/>
        <v>0</v>
      </c>
      <c r="M10" s="40"/>
      <c r="N10" s="41"/>
      <c r="O10" s="28"/>
      <c r="P10" s="16">
        <f t="shared" si="0"/>
        <v>0</v>
      </c>
      <c r="Q10" s="40"/>
      <c r="R10" s="41"/>
    </row>
    <row r="11" spans="1:18" x14ac:dyDescent="0.3">
      <c r="C11" s="28"/>
      <c r="D11" s="16"/>
      <c r="E11" s="40"/>
      <c r="F11" s="41"/>
      <c r="G11" s="28"/>
      <c r="H11" s="16"/>
      <c r="I11" s="40"/>
      <c r="J11" s="41">
        <f>IF('Back End'!$E$17 = TRUE, 0.01,IF('Back End'!$E$18 = TRUE, 0.005, IF('Back End'!$E$19 = TRUE, 0.005)))*I11</f>
        <v>0</v>
      </c>
      <c r="K11" s="28"/>
      <c r="L11" s="16">
        <f t="shared" si="1"/>
        <v>0</v>
      </c>
      <c r="M11" s="40"/>
      <c r="N11" s="41"/>
      <c r="O11" s="28"/>
      <c r="P11" s="16">
        <f t="shared" si="0"/>
        <v>0</v>
      </c>
      <c r="Q11" s="40"/>
      <c r="R11" s="41"/>
    </row>
    <row r="12" spans="1:18" x14ac:dyDescent="0.3">
      <c r="C12" s="28"/>
      <c r="D12" s="16"/>
      <c r="E12" s="40"/>
      <c r="F12" s="41"/>
      <c r="G12" s="28"/>
      <c r="H12" s="16"/>
      <c r="I12" s="40"/>
      <c r="J12" s="41">
        <f>IF('Back End'!$E$17 = TRUE, 0.01,IF('Back End'!$E$18 = TRUE, 0.005, IF('Back End'!$E$19 = TRUE, 0.005)))*I12</f>
        <v>0</v>
      </c>
      <c r="K12" s="28"/>
      <c r="L12" s="16">
        <f t="shared" si="1"/>
        <v>0</v>
      </c>
      <c r="M12" s="40"/>
      <c r="N12" s="41"/>
      <c r="O12" s="28"/>
      <c r="P12" s="16">
        <f>0.05*O12</f>
        <v>0</v>
      </c>
      <c r="Q12" s="40"/>
      <c r="R12" s="41"/>
    </row>
    <row r="13" spans="1:18" x14ac:dyDescent="0.3">
      <c r="C13" s="28"/>
      <c r="D13" s="16"/>
      <c r="E13" s="40"/>
      <c r="F13" s="41"/>
      <c r="G13" s="28"/>
      <c r="H13" s="16"/>
      <c r="I13" s="40"/>
      <c r="J13" s="41">
        <f>IF('Back End'!$E$17 = TRUE, 0.01,IF('Back End'!$E$18 = TRUE, 0.005, IF('Back End'!$E$19 = TRUE, 0.005)))*I13</f>
        <v>0</v>
      </c>
      <c r="K13" s="28"/>
      <c r="L13" s="16">
        <f t="shared" si="1"/>
        <v>0</v>
      </c>
      <c r="M13" s="40"/>
      <c r="N13" s="41"/>
      <c r="O13" s="28"/>
      <c r="P13" s="16">
        <f t="shared" si="0"/>
        <v>0</v>
      </c>
      <c r="Q13" s="40"/>
      <c r="R13" s="41"/>
    </row>
    <row r="14" spans="1:18" x14ac:dyDescent="0.3">
      <c r="C14" s="28"/>
      <c r="D14" s="16"/>
      <c r="E14" s="40"/>
      <c r="F14" s="41"/>
      <c r="G14" s="28"/>
      <c r="H14" s="16"/>
      <c r="I14" s="40"/>
      <c r="J14" s="41">
        <f>IF('Back End'!$E$17 = TRUE, 0.01,IF('Back End'!$E$18 = TRUE, 0.005, IF('Back End'!$E$19 = TRUE, 0.005)))*I14</f>
        <v>0</v>
      </c>
      <c r="K14" s="28"/>
      <c r="L14" s="16">
        <f t="shared" si="1"/>
        <v>0</v>
      </c>
      <c r="M14" s="40"/>
      <c r="N14" s="41"/>
      <c r="O14" s="28"/>
      <c r="P14" s="16">
        <f t="shared" si="0"/>
        <v>0</v>
      </c>
      <c r="Q14" s="40"/>
      <c r="R14" s="41"/>
    </row>
    <row r="15" spans="1:18" x14ac:dyDescent="0.3">
      <c r="C15" s="28"/>
      <c r="D15" s="16"/>
      <c r="E15" s="40"/>
      <c r="F15" s="41"/>
      <c r="G15" s="28"/>
      <c r="H15" s="16"/>
      <c r="I15" s="40"/>
      <c r="J15" s="41">
        <f>IF('Back End'!$E$17 = TRUE, 0.01,IF('Back End'!$E$18 = TRUE, 0.005, IF('Back End'!$E$19 = TRUE, 0.005)))*I15</f>
        <v>0</v>
      </c>
      <c r="K15" s="28"/>
      <c r="L15" s="16">
        <f t="shared" si="1"/>
        <v>0</v>
      </c>
      <c r="M15" s="40"/>
      <c r="N15" s="41"/>
      <c r="O15" s="28"/>
      <c r="P15" s="16">
        <f t="shared" si="0"/>
        <v>0</v>
      </c>
      <c r="Q15" s="40"/>
      <c r="R15" s="41"/>
    </row>
    <row r="16" spans="1:18" x14ac:dyDescent="0.3">
      <c r="C16" s="28"/>
      <c r="D16" s="16"/>
      <c r="E16" s="40"/>
      <c r="F16" s="41"/>
      <c r="G16" s="28"/>
      <c r="H16" s="16"/>
      <c r="I16" s="40"/>
      <c r="J16" s="41">
        <f>IF('Back End'!$E$17 = TRUE, 0.01,IF('Back End'!$E$18 = TRUE, 0.005, IF('Back End'!$E$19 = TRUE, 0.005)))*I16</f>
        <v>0</v>
      </c>
      <c r="K16" s="28"/>
      <c r="L16" s="16">
        <f t="shared" si="1"/>
        <v>0</v>
      </c>
      <c r="M16" s="40"/>
      <c r="N16" s="41"/>
      <c r="O16" s="28"/>
      <c r="P16" s="16">
        <f t="shared" si="0"/>
        <v>0</v>
      </c>
      <c r="Q16" s="40"/>
      <c r="R16" s="41"/>
    </row>
    <row r="17" spans="3:18" x14ac:dyDescent="0.3">
      <c r="C17" s="28"/>
      <c r="D17" s="16"/>
      <c r="E17" s="40"/>
      <c r="F17" s="41"/>
      <c r="G17" s="28"/>
      <c r="H17" s="16"/>
      <c r="I17" s="40"/>
      <c r="J17" s="41">
        <f>IF('Back End'!$E$17 = TRUE, 0.01,IF('Back End'!$E$18 = TRUE, 0.005, IF('Back End'!$E$19 = TRUE, 0.005)))*I17</f>
        <v>0</v>
      </c>
      <c r="K17" s="28"/>
      <c r="L17" s="16">
        <f t="shared" si="1"/>
        <v>0</v>
      </c>
      <c r="M17" s="40"/>
      <c r="N17" s="41"/>
      <c r="O17" s="28"/>
      <c r="P17" s="16">
        <f t="shared" si="0"/>
        <v>0</v>
      </c>
      <c r="Q17" s="40"/>
      <c r="R17" s="41"/>
    </row>
    <row r="18" spans="3:18" x14ac:dyDescent="0.3">
      <c r="C18" s="28"/>
      <c r="D18" s="16"/>
      <c r="E18" s="40"/>
      <c r="F18" s="41"/>
      <c r="G18" s="28"/>
      <c r="H18" s="16"/>
      <c r="I18" s="40"/>
      <c r="J18" s="41">
        <f>IF('Back End'!$E$17 = TRUE, 0.01,IF('Back End'!$E$18 = TRUE, 0.005, IF('Back End'!$E$19 = TRUE, 0.005)))*I18</f>
        <v>0</v>
      </c>
      <c r="K18" s="28"/>
      <c r="L18" s="16">
        <f t="shared" si="1"/>
        <v>0</v>
      </c>
      <c r="M18" s="40"/>
      <c r="N18" s="41"/>
      <c r="O18" s="28"/>
      <c r="P18" s="16">
        <f t="shared" si="0"/>
        <v>0</v>
      </c>
      <c r="Q18" s="40"/>
      <c r="R18" s="41"/>
    </row>
    <row r="19" spans="3:18" x14ac:dyDescent="0.3">
      <c r="C19" s="28"/>
      <c r="D19" s="16"/>
      <c r="E19" s="40"/>
      <c r="F19" s="41"/>
      <c r="G19" s="28"/>
      <c r="H19" s="16"/>
      <c r="I19" s="40"/>
      <c r="J19" s="41">
        <f>IF('Back End'!$E$17 = TRUE, 0.01,IF('Back End'!$E$18 = TRUE, 0.005, IF('Back End'!$E$19 = TRUE, 0.005)))*I19</f>
        <v>0</v>
      </c>
      <c r="K19" s="28"/>
      <c r="L19" s="16">
        <f t="shared" si="1"/>
        <v>0</v>
      </c>
      <c r="M19" s="40"/>
      <c r="N19" s="41"/>
      <c r="O19" s="28"/>
      <c r="P19" s="16">
        <f t="shared" si="0"/>
        <v>0</v>
      </c>
      <c r="Q19" s="40"/>
      <c r="R19" s="41"/>
    </row>
    <row r="20" spans="3:18" x14ac:dyDescent="0.3">
      <c r="C20" s="28"/>
      <c r="D20" s="16"/>
      <c r="E20" s="40"/>
      <c r="F20" s="41"/>
      <c r="G20" s="28"/>
      <c r="H20" s="16"/>
      <c r="I20" s="40"/>
      <c r="J20" s="41">
        <f>IF('Back End'!$E$17 = TRUE, 0.01,IF('Back End'!$E$18 = TRUE, 0.005, IF('Back End'!$E$19 = TRUE, 0.005)))*I20</f>
        <v>0</v>
      </c>
      <c r="K20" s="28"/>
      <c r="L20" s="16">
        <f t="shared" si="1"/>
        <v>0</v>
      </c>
      <c r="M20" s="40"/>
      <c r="N20" s="41"/>
      <c r="O20" s="28"/>
      <c r="P20" s="16">
        <f t="shared" si="0"/>
        <v>0</v>
      </c>
      <c r="Q20" s="40"/>
      <c r="R20" s="41"/>
    </row>
    <row r="21" spans="3:18" x14ac:dyDescent="0.3">
      <c r="C21" s="27"/>
      <c r="D21" s="29"/>
      <c r="E21" s="40"/>
      <c r="F21" s="41"/>
      <c r="G21" s="27"/>
      <c r="H21" s="29"/>
      <c r="I21" s="40"/>
      <c r="J21" s="41">
        <f>IF('Back End'!$E$17 = TRUE, 0.01,IF('Back End'!$E$18 = TRUE, 0.005, IF('Back End'!$E$19 = TRUE, 0.005)))*I21</f>
        <v>0</v>
      </c>
      <c r="K21" s="27"/>
      <c r="L21" s="29">
        <f t="shared" si="1"/>
        <v>0</v>
      </c>
      <c r="M21" s="40"/>
      <c r="N21" s="41"/>
      <c r="O21" s="27"/>
      <c r="P21" s="29">
        <f t="shared" si="0"/>
        <v>0</v>
      </c>
      <c r="Q21" s="40"/>
      <c r="R21" s="41"/>
    </row>
    <row r="22" spans="3:18" x14ac:dyDescent="0.3">
      <c r="C22" s="28"/>
      <c r="D22" s="16"/>
      <c r="E22" s="40"/>
      <c r="F22" s="41"/>
      <c r="G22" s="28"/>
      <c r="H22" s="16"/>
      <c r="I22" s="40"/>
      <c r="J22" s="41">
        <f>IF('Back End'!$E$17 = TRUE, 0.01,IF('Back End'!$E$18 = TRUE, 0.005, IF('Back End'!$E$19 = TRUE, 0.005)))*I22</f>
        <v>0</v>
      </c>
      <c r="K22" s="28"/>
      <c r="L22" s="16">
        <f t="shared" si="1"/>
        <v>0</v>
      </c>
      <c r="M22" s="40"/>
      <c r="N22" s="41"/>
      <c r="O22" s="28"/>
      <c r="P22" s="16">
        <f t="shared" si="0"/>
        <v>0</v>
      </c>
      <c r="Q22" s="40"/>
      <c r="R22" s="41"/>
    </row>
    <row r="23" spans="3:18" x14ac:dyDescent="0.3">
      <c r="C23" s="22"/>
      <c r="D23" s="30"/>
      <c r="E23" s="40"/>
      <c r="F23" s="41"/>
      <c r="G23" s="22"/>
      <c r="H23" s="30"/>
      <c r="I23" s="40"/>
      <c r="J23" s="41">
        <f>IF('Back End'!$E$17 = TRUE, 0.01,IF('Back End'!$E$18 = TRUE, 0.005, IF('Back End'!$E$19 = TRUE, 0.005)))*I23</f>
        <v>0</v>
      </c>
      <c r="K23" s="22"/>
      <c r="L23" s="30">
        <f t="shared" si="1"/>
        <v>0</v>
      </c>
      <c r="M23" s="40"/>
      <c r="N23" s="41"/>
      <c r="O23" s="22"/>
      <c r="P23" s="30">
        <f t="shared" si="0"/>
        <v>0</v>
      </c>
      <c r="Q23" s="40"/>
      <c r="R23" s="41"/>
    </row>
    <row r="24" spans="3:18" x14ac:dyDescent="0.3">
      <c r="C24" s="28"/>
      <c r="D24" s="16"/>
      <c r="E24" s="40"/>
      <c r="F24" s="41"/>
      <c r="G24" s="28"/>
      <c r="H24" s="16"/>
      <c r="I24" s="40"/>
      <c r="J24" s="41">
        <f>IF('Back End'!$E$17 = TRUE, 0.01,IF('Back End'!$E$18 = TRUE, 0.005, IF('Back End'!$E$19 = TRUE, 0.005)))*I24</f>
        <v>0</v>
      </c>
      <c r="K24" s="28"/>
      <c r="L24" s="16">
        <f t="shared" si="1"/>
        <v>0</v>
      </c>
      <c r="M24" s="40"/>
      <c r="N24" s="41"/>
      <c r="O24" s="28"/>
      <c r="P24" s="16">
        <f t="shared" si="0"/>
        <v>0</v>
      </c>
      <c r="Q24" s="40"/>
      <c r="R24" s="41"/>
    </row>
    <row r="25" spans="3:18" x14ac:dyDescent="0.3">
      <c r="C25" s="28"/>
      <c r="D25" s="16"/>
      <c r="E25" s="40"/>
      <c r="F25" s="41"/>
      <c r="G25" s="28"/>
      <c r="H25" s="16"/>
      <c r="I25" s="40"/>
      <c r="J25" s="41">
        <f>IF('Back End'!$E$17 = TRUE, 0.01,IF('Back End'!$E$18 = TRUE, 0.005, IF('Back End'!$E$19 = TRUE, 0.005)))*I25</f>
        <v>0</v>
      </c>
      <c r="K25" s="28"/>
      <c r="L25" s="16">
        <f t="shared" si="1"/>
        <v>0</v>
      </c>
      <c r="M25" s="40"/>
      <c r="N25" s="41"/>
      <c r="O25" s="28"/>
      <c r="P25" s="16">
        <f t="shared" si="0"/>
        <v>0</v>
      </c>
      <c r="Q25" s="40"/>
      <c r="R25" s="41"/>
    </row>
    <row r="26" spans="3:18" x14ac:dyDescent="0.3">
      <c r="C26" s="27"/>
      <c r="D26" s="29"/>
      <c r="E26" s="40"/>
      <c r="F26" s="41"/>
      <c r="G26" s="27"/>
      <c r="H26" s="29"/>
      <c r="I26" s="40"/>
      <c r="J26" s="41">
        <f>IF('Back End'!$E$17 = TRUE, 0.01,IF('Back End'!$E$18 = TRUE, 0.005, IF('Back End'!$E$19 = TRUE, 0.005)))*I26</f>
        <v>0</v>
      </c>
      <c r="K26" s="27"/>
      <c r="L26" s="29">
        <f t="shared" si="1"/>
        <v>0</v>
      </c>
      <c r="M26" s="40"/>
      <c r="N26" s="41"/>
      <c r="O26" s="27"/>
      <c r="P26" s="29">
        <f t="shared" si="0"/>
        <v>0</v>
      </c>
      <c r="Q26" s="40"/>
      <c r="R26" s="41"/>
    </row>
    <row r="27" spans="3:18" x14ac:dyDescent="0.3">
      <c r="C27" s="28"/>
      <c r="D27" s="16"/>
      <c r="E27" s="40"/>
      <c r="F27" s="41"/>
      <c r="G27" s="28"/>
      <c r="H27" s="16"/>
      <c r="I27" s="40"/>
      <c r="J27" s="41">
        <f>IF('Back End'!$E$17 = TRUE, 0.01,IF('Back End'!$E$18 = TRUE, 0.005, IF('Back End'!$E$19 = TRUE, 0.005)))*I27</f>
        <v>0</v>
      </c>
      <c r="K27" s="28"/>
      <c r="L27" s="16">
        <f t="shared" si="1"/>
        <v>0</v>
      </c>
      <c r="M27" s="40"/>
      <c r="N27" s="41"/>
      <c r="O27" s="28"/>
      <c r="P27" s="16">
        <f t="shared" si="0"/>
        <v>0</v>
      </c>
      <c r="Q27" s="40"/>
      <c r="R27" s="41"/>
    </row>
    <row r="28" spans="3:18" x14ac:dyDescent="0.3">
      <c r="C28" s="22"/>
      <c r="D28" s="30"/>
      <c r="E28" s="40"/>
      <c r="F28" s="41"/>
      <c r="G28" s="22"/>
      <c r="H28" s="30"/>
      <c r="I28" s="40"/>
      <c r="J28" s="41">
        <f>IF('Back End'!$E$17 = TRUE, 0.01,IF('Back End'!$E$18 = TRUE, 0.005, IF('Back End'!$E$19 = TRUE, 0.005)))*I28</f>
        <v>0</v>
      </c>
      <c r="K28" s="22"/>
      <c r="L28" s="30">
        <f t="shared" si="1"/>
        <v>0</v>
      </c>
      <c r="M28" s="40"/>
      <c r="N28" s="41"/>
      <c r="O28" s="22"/>
      <c r="P28" s="30">
        <f t="shared" si="0"/>
        <v>0</v>
      </c>
      <c r="Q28" s="40"/>
      <c r="R28" s="41"/>
    </row>
    <row r="29" spans="3:18" x14ac:dyDescent="0.3">
      <c r="C29" s="28"/>
      <c r="D29" s="16"/>
      <c r="E29" s="40"/>
      <c r="F29" s="41"/>
      <c r="G29" s="28"/>
      <c r="H29" s="16"/>
      <c r="I29" s="40"/>
      <c r="J29" s="41">
        <f>IF('Back End'!$E$17 = TRUE, 0.01,IF('Back End'!$E$18 = TRUE, 0.005, IF('Back End'!$E$19 = TRUE, 0.005)))*I29</f>
        <v>0</v>
      </c>
      <c r="K29" s="28"/>
      <c r="L29" s="16">
        <f t="shared" si="1"/>
        <v>0</v>
      </c>
      <c r="M29" s="40"/>
      <c r="N29" s="41"/>
      <c r="O29" s="28"/>
      <c r="P29" s="16">
        <f t="shared" si="0"/>
        <v>0</v>
      </c>
      <c r="Q29" s="40"/>
      <c r="R29" s="41"/>
    </row>
    <row r="30" spans="3:18" x14ac:dyDescent="0.3">
      <c r="C30" s="27"/>
      <c r="D30" s="29"/>
      <c r="E30" s="40"/>
      <c r="F30" s="41"/>
      <c r="G30" s="27"/>
      <c r="H30" s="29"/>
      <c r="I30" s="40"/>
      <c r="J30" s="41">
        <f>IF('Back End'!$E$17 = TRUE, 0.01,IF('Back End'!$E$18 = TRUE, 0.005, IF('Back End'!$E$19 = TRUE, 0.005)))*I30</f>
        <v>0</v>
      </c>
      <c r="K30" s="27"/>
      <c r="L30" s="29">
        <f t="shared" si="1"/>
        <v>0</v>
      </c>
      <c r="M30" s="40"/>
      <c r="N30" s="41"/>
      <c r="O30" s="27"/>
      <c r="P30" s="29">
        <f t="shared" si="0"/>
        <v>0</v>
      </c>
      <c r="Q30" s="40"/>
      <c r="R30" s="41"/>
    </row>
    <row r="31" spans="3:18" x14ac:dyDescent="0.3">
      <c r="C31" s="28"/>
      <c r="D31" s="16"/>
      <c r="E31" s="40"/>
      <c r="F31" s="41"/>
      <c r="G31" s="28"/>
      <c r="H31" s="16"/>
      <c r="I31" s="40"/>
      <c r="J31" s="41">
        <f>IF('Back End'!$E$17 = TRUE, 0.01,IF('Back End'!$E$18 = TRUE, 0.005, IF('Back End'!$E$19 = TRUE, 0.005)))*I31</f>
        <v>0</v>
      </c>
      <c r="K31" s="28"/>
      <c r="L31" s="16">
        <f t="shared" si="1"/>
        <v>0</v>
      </c>
      <c r="M31" s="40"/>
      <c r="N31" s="41"/>
      <c r="O31" s="28"/>
      <c r="P31" s="16">
        <f t="shared" si="0"/>
        <v>0</v>
      </c>
      <c r="Q31" s="40"/>
      <c r="R31" s="41"/>
    </row>
    <row r="32" spans="3:18" x14ac:dyDescent="0.3">
      <c r="C32" s="27"/>
      <c r="D32" s="29"/>
      <c r="E32" s="40"/>
      <c r="F32" s="41"/>
      <c r="G32" s="27"/>
      <c r="H32" s="29"/>
      <c r="I32" s="40"/>
      <c r="J32" s="41">
        <f>IF('Back End'!$E$17 = TRUE, 0.01,IF('Back End'!$E$18 = TRUE, 0.005, IF('Back End'!$E$19 = TRUE, 0.005)))*I32</f>
        <v>0</v>
      </c>
      <c r="K32" s="27"/>
      <c r="L32" s="29">
        <f t="shared" si="1"/>
        <v>0</v>
      </c>
      <c r="M32" s="40"/>
      <c r="N32" s="41"/>
      <c r="O32" s="27"/>
      <c r="P32" s="29">
        <f t="shared" si="0"/>
        <v>0</v>
      </c>
      <c r="Q32" s="40"/>
      <c r="R32" s="41"/>
    </row>
    <row r="33" spans="3:18" x14ac:dyDescent="0.3">
      <c r="C33" s="28"/>
      <c r="D33" s="16"/>
      <c r="E33" s="40"/>
      <c r="F33" s="41"/>
      <c r="G33" s="28"/>
      <c r="H33" s="16"/>
      <c r="I33" s="40"/>
      <c r="J33" s="41">
        <f>IF('Back End'!$E$17 = TRUE, 0.01,IF('Back End'!$E$18 = TRUE, 0.005, IF('Back End'!$E$19 = TRUE, 0.005)))*I33</f>
        <v>0</v>
      </c>
      <c r="K33" s="28"/>
      <c r="L33" s="16">
        <f t="shared" si="1"/>
        <v>0</v>
      </c>
      <c r="M33" s="40"/>
      <c r="N33" s="41"/>
      <c r="O33" s="28"/>
      <c r="P33" s="16">
        <f t="shared" si="0"/>
        <v>0</v>
      </c>
      <c r="Q33" s="40"/>
      <c r="R33" s="41"/>
    </row>
    <row r="34" spans="3:18" x14ac:dyDescent="0.3">
      <c r="C34" s="22"/>
      <c r="D34" s="30"/>
      <c r="E34" s="40"/>
      <c r="F34" s="41"/>
      <c r="G34" s="22"/>
      <c r="H34" s="30"/>
      <c r="I34" s="40"/>
      <c r="J34" s="41">
        <f>IF('Back End'!$E$17 = TRUE, 0.01,IF('Back End'!$E$18 = TRUE, 0.005, IF('Back End'!$E$19 = TRUE, 0.005)))*I34</f>
        <v>0</v>
      </c>
      <c r="K34" s="22"/>
      <c r="L34" s="30">
        <f t="shared" si="1"/>
        <v>0</v>
      </c>
      <c r="M34" s="40"/>
      <c r="N34" s="41"/>
      <c r="O34" s="22"/>
      <c r="P34" s="30">
        <f t="shared" si="0"/>
        <v>0</v>
      </c>
      <c r="Q34" s="40"/>
      <c r="R34" s="41"/>
    </row>
    <row r="35" spans="3:18" x14ac:dyDescent="0.3">
      <c r="C35" s="26"/>
      <c r="D35" s="16"/>
      <c r="E35" s="42"/>
      <c r="F35" s="41"/>
      <c r="G35" s="26"/>
      <c r="H35" s="16"/>
      <c r="I35" s="42"/>
      <c r="J35" s="41">
        <f>IF('Back End'!$E$17 = TRUE, 0.01,IF('Back End'!$E$18 = TRUE, 0.005, IF('Back End'!$E$19 = TRUE, 0.005)))*I35</f>
        <v>0</v>
      </c>
      <c r="K35" s="26"/>
      <c r="L35" s="16">
        <f t="shared" si="1"/>
        <v>0</v>
      </c>
      <c r="M35" s="42"/>
      <c r="N35" s="41"/>
      <c r="O35" s="26"/>
      <c r="P35" s="16">
        <f t="shared" si="0"/>
        <v>0</v>
      </c>
      <c r="Q35" s="42"/>
      <c r="R35" s="41"/>
    </row>
    <row r="36" spans="3:18" x14ac:dyDescent="0.3">
      <c r="C36" s="25"/>
      <c r="D36" s="29"/>
      <c r="E36" s="42"/>
      <c r="F36" s="41"/>
      <c r="G36" s="25"/>
      <c r="H36" s="29"/>
      <c r="I36" s="42"/>
      <c r="J36" s="41">
        <f>IF('Back End'!$E$17 = TRUE, 0.01,IF('Back End'!$E$18 = TRUE, 0.005, IF('Back End'!$E$19 = TRUE, 0.005)))*I36</f>
        <v>0</v>
      </c>
      <c r="K36" s="25"/>
      <c r="L36" s="29">
        <f t="shared" si="1"/>
        <v>0</v>
      </c>
      <c r="M36" s="42"/>
      <c r="N36" s="41"/>
      <c r="O36" s="25"/>
      <c r="P36" s="29">
        <f t="shared" si="0"/>
        <v>0</v>
      </c>
      <c r="Q36" s="42"/>
      <c r="R36" s="41"/>
    </row>
    <row r="37" spans="3:18" x14ac:dyDescent="0.3">
      <c r="C37" s="25"/>
      <c r="D37" s="29"/>
      <c r="E37" s="42"/>
      <c r="F37" s="41"/>
      <c r="G37" s="25"/>
      <c r="H37" s="29"/>
      <c r="I37" s="42"/>
      <c r="J37" s="41">
        <f>IF('Back End'!$E$17 = TRUE, 0.01,IF('Back End'!$E$18 = TRUE, 0.005, IF('Back End'!$E$19 = TRUE, 0.005)))*I37</f>
        <v>0</v>
      </c>
      <c r="K37" s="25"/>
      <c r="L37" s="29">
        <f t="shared" si="1"/>
        <v>0</v>
      </c>
      <c r="M37" s="42"/>
      <c r="N37" s="41"/>
      <c r="O37" s="25"/>
      <c r="P37" s="29">
        <f t="shared" si="0"/>
        <v>0</v>
      </c>
      <c r="Q37" s="42"/>
      <c r="R37" s="41"/>
    </row>
    <row r="38" spans="3:18" x14ac:dyDescent="0.3">
      <c r="C38" s="23"/>
      <c r="D38" s="30"/>
      <c r="E38" s="42"/>
      <c r="F38" s="41"/>
      <c r="G38" s="23"/>
      <c r="H38" s="30"/>
      <c r="I38" s="42"/>
      <c r="J38" s="41">
        <f>IF('Back End'!$E$17 = TRUE, 0.01,IF('Back End'!$E$18 = TRUE, 0.005, IF('Back End'!$E$19 = TRUE, 0.005)))*I38</f>
        <v>0</v>
      </c>
      <c r="K38" s="23"/>
      <c r="L38" s="30">
        <f t="shared" si="1"/>
        <v>0</v>
      </c>
      <c r="M38" s="42"/>
      <c r="N38" s="41"/>
      <c r="O38" s="23"/>
      <c r="P38" s="30">
        <f t="shared" si="0"/>
        <v>0</v>
      </c>
      <c r="Q38" s="42"/>
      <c r="R38" s="41"/>
    </row>
    <row r="39" spans="3:18" x14ac:dyDescent="0.3">
      <c r="C39" s="26"/>
      <c r="D39" s="16"/>
      <c r="E39" s="42"/>
      <c r="F39" s="41"/>
      <c r="G39" s="26"/>
      <c r="H39" s="16"/>
      <c r="I39" s="42"/>
      <c r="J39" s="41">
        <f>IF('Back End'!$E$17 = TRUE, 0.01,IF('Back End'!$E$18 = TRUE, 0.005, IF('Back End'!$E$19 = TRUE, 0.005)))*I39</f>
        <v>0</v>
      </c>
      <c r="K39" s="26"/>
      <c r="L39" s="16">
        <f t="shared" si="1"/>
        <v>0</v>
      </c>
      <c r="M39" s="42"/>
      <c r="N39" s="41"/>
      <c r="O39" s="26"/>
      <c r="P39" s="16">
        <f t="shared" si="0"/>
        <v>0</v>
      </c>
      <c r="Q39" s="42"/>
      <c r="R39" s="41"/>
    </row>
    <row r="40" spans="3:18" x14ac:dyDescent="0.3">
      <c r="C40" s="25"/>
      <c r="D40" s="29"/>
      <c r="E40" s="42"/>
      <c r="F40" s="41"/>
      <c r="G40" s="25"/>
      <c r="H40" s="29"/>
      <c r="I40" s="42"/>
      <c r="J40" s="41">
        <f>IF('Back End'!$E$17 = TRUE, 0.01,IF('Back End'!$E$18 = TRUE, 0.005, IF('Back End'!$E$19 = TRUE, 0.005)))*I40</f>
        <v>0</v>
      </c>
      <c r="K40" s="25"/>
      <c r="L40" s="29">
        <f t="shared" si="1"/>
        <v>0</v>
      </c>
      <c r="M40" s="42"/>
      <c r="N40" s="41"/>
      <c r="O40" s="25"/>
      <c r="P40" s="29">
        <f t="shared" si="0"/>
        <v>0</v>
      </c>
      <c r="Q40" s="42"/>
      <c r="R40" s="41"/>
    </row>
    <row r="41" spans="3:18" x14ac:dyDescent="0.3">
      <c r="C41" s="25"/>
      <c r="D41" s="29"/>
      <c r="E41" s="42"/>
      <c r="F41" s="41"/>
      <c r="G41" s="25"/>
      <c r="H41" s="29"/>
      <c r="I41" s="42"/>
      <c r="J41" s="41">
        <f>IF('Back End'!$E$17 = TRUE, 0.01,IF('Back End'!$E$18 = TRUE, 0.005, IF('Back End'!$E$19 = TRUE, 0.005)))*I41</f>
        <v>0</v>
      </c>
      <c r="K41" s="25"/>
      <c r="L41" s="29">
        <f t="shared" si="1"/>
        <v>0</v>
      </c>
      <c r="M41" s="42"/>
      <c r="N41" s="41"/>
      <c r="O41" s="25"/>
      <c r="P41" s="29">
        <f t="shared" si="0"/>
        <v>0</v>
      </c>
      <c r="Q41" s="42"/>
      <c r="R41" s="41"/>
    </row>
    <row r="42" spans="3:18" x14ac:dyDescent="0.3">
      <c r="C42" s="26"/>
      <c r="D42" s="16"/>
      <c r="E42" s="42"/>
      <c r="F42" s="41"/>
      <c r="G42" s="26"/>
      <c r="H42" s="16"/>
      <c r="I42" s="42"/>
      <c r="J42" s="41">
        <f>IF('Back End'!$E$17 = TRUE, 0.01,IF('Back End'!$E$18 = TRUE, 0.005, IF('Back End'!$E$19 = TRUE, 0.005)))*I42</f>
        <v>0</v>
      </c>
      <c r="K42" s="26"/>
      <c r="L42" s="16">
        <f t="shared" si="1"/>
        <v>0</v>
      </c>
      <c r="M42" s="42"/>
      <c r="N42" s="41"/>
      <c r="O42" s="26"/>
      <c r="P42" s="16">
        <f t="shared" si="0"/>
        <v>0</v>
      </c>
      <c r="Q42" s="42"/>
      <c r="R42" s="41"/>
    </row>
    <row r="43" spans="3:18" x14ac:dyDescent="0.3">
      <c r="C43" s="23"/>
      <c r="D43" s="30"/>
      <c r="E43" s="42"/>
      <c r="F43" s="41"/>
      <c r="G43" s="23"/>
      <c r="H43" s="30"/>
      <c r="I43" s="42"/>
      <c r="J43" s="41">
        <f>IF('Back End'!$E$17 = TRUE, 0.01,IF('Back End'!$E$18 = TRUE, 0.005, IF('Back End'!$E$19 = TRUE, 0.005)))*I43</f>
        <v>0</v>
      </c>
      <c r="K43" s="23"/>
      <c r="L43" s="30">
        <f t="shared" si="1"/>
        <v>0</v>
      </c>
      <c r="M43" s="42"/>
      <c r="N43" s="41"/>
      <c r="O43" s="23"/>
      <c r="P43" s="30">
        <f t="shared" si="0"/>
        <v>0</v>
      </c>
      <c r="Q43" s="42"/>
      <c r="R43" s="41"/>
    </row>
    <row r="44" spans="3:18" x14ac:dyDescent="0.3">
      <c r="C44" s="26"/>
      <c r="D44" s="16"/>
      <c r="E44" s="42"/>
      <c r="F44" s="41"/>
      <c r="G44" s="26"/>
      <c r="H44" s="16"/>
      <c r="I44" s="42"/>
      <c r="J44" s="41">
        <f>IF('Back End'!$E$17 = TRUE, 0.01,IF('Back End'!$E$18 = TRUE, 0.005, IF('Back End'!$E$19 = TRUE, 0.005)))*I44</f>
        <v>0</v>
      </c>
      <c r="K44" s="26"/>
      <c r="L44" s="16">
        <f t="shared" si="1"/>
        <v>0</v>
      </c>
      <c r="M44" s="42"/>
      <c r="N44" s="41"/>
      <c r="O44" s="26"/>
      <c r="P44" s="16">
        <f t="shared" si="0"/>
        <v>0</v>
      </c>
      <c r="Q44" s="42"/>
      <c r="R44" s="41"/>
    </row>
    <row r="45" spans="3:18" x14ac:dyDescent="0.3">
      <c r="C45" s="23"/>
      <c r="D45" s="30"/>
      <c r="E45" s="42"/>
      <c r="F45" s="41"/>
      <c r="G45" s="23"/>
      <c r="H45" s="30"/>
      <c r="I45" s="42"/>
      <c r="J45" s="41">
        <f>IF('Back End'!$E$17 = TRUE, 0.01,IF('Back End'!$E$18 = TRUE, 0.005, IF('Back End'!$E$19 = TRUE, 0.005)))*I45</f>
        <v>0</v>
      </c>
      <c r="K45" s="23"/>
      <c r="L45" s="30">
        <f t="shared" si="1"/>
        <v>0</v>
      </c>
      <c r="M45" s="42"/>
      <c r="N45" s="41"/>
      <c r="O45" s="23"/>
      <c r="P45" s="30">
        <f t="shared" si="0"/>
        <v>0</v>
      </c>
      <c r="Q45" s="42"/>
      <c r="R45" s="41"/>
    </row>
    <row r="46" spans="3:18" x14ac:dyDescent="0.3">
      <c r="C46" s="26"/>
      <c r="D46" s="16"/>
      <c r="E46" s="42"/>
      <c r="F46" s="41"/>
      <c r="G46" s="26"/>
      <c r="H46" s="16"/>
      <c r="I46" s="42"/>
      <c r="J46" s="41">
        <f>IF('Back End'!$E$17 = TRUE, 0.01,IF('Back End'!$E$18 = TRUE, 0.005, IF('Back End'!$E$19 = TRUE, 0.005)))*I46</f>
        <v>0</v>
      </c>
      <c r="K46" s="26"/>
      <c r="L46" s="16">
        <f t="shared" si="1"/>
        <v>0</v>
      </c>
      <c r="M46" s="42"/>
      <c r="N46" s="41"/>
      <c r="O46" s="26"/>
      <c r="P46" s="16">
        <f t="shared" si="0"/>
        <v>0</v>
      </c>
      <c r="Q46" s="42"/>
      <c r="R46" s="41"/>
    </row>
    <row r="47" spans="3:18" x14ac:dyDescent="0.3">
      <c r="C47" s="25"/>
      <c r="D47" s="29"/>
      <c r="E47" s="42"/>
      <c r="F47" s="41"/>
      <c r="G47" s="25"/>
      <c r="H47" s="29"/>
      <c r="I47" s="42"/>
      <c r="J47" s="41">
        <f>IF('Back End'!$E$17 = TRUE, 0.01,IF('Back End'!$E$18 = TRUE, 0.005, IF('Back End'!$E$19 = TRUE, 0.005)))*I47</f>
        <v>0</v>
      </c>
      <c r="K47" s="25"/>
      <c r="L47" s="29">
        <f t="shared" si="1"/>
        <v>0</v>
      </c>
      <c r="M47" s="42"/>
      <c r="N47" s="41"/>
      <c r="O47" s="25"/>
      <c r="P47" s="29">
        <f t="shared" si="0"/>
        <v>0</v>
      </c>
      <c r="Q47" s="42"/>
      <c r="R47" s="41"/>
    </row>
    <row r="48" spans="3:18" x14ac:dyDescent="0.3">
      <c r="C48" s="23"/>
      <c r="D48" s="30"/>
      <c r="E48" s="42"/>
      <c r="F48" s="41"/>
      <c r="G48" s="23"/>
      <c r="H48" s="30"/>
      <c r="I48" s="42"/>
      <c r="J48" s="41">
        <f>IF('Back End'!$E$17 = TRUE, 0.01,IF('Back End'!$E$18 = TRUE, 0.005, IF('Back End'!$E$19 = TRUE, 0.005)))*I48</f>
        <v>0</v>
      </c>
      <c r="K48" s="23"/>
      <c r="L48" s="30">
        <f t="shared" si="1"/>
        <v>0</v>
      </c>
      <c r="M48" s="42"/>
      <c r="N48" s="41"/>
      <c r="O48" s="23"/>
      <c r="P48" s="30">
        <f t="shared" si="0"/>
        <v>0</v>
      </c>
      <c r="Q48" s="42"/>
      <c r="R48" s="41"/>
    </row>
    <row r="49" spans="3:18" x14ac:dyDescent="0.3">
      <c r="C49" s="26"/>
      <c r="D49" s="16"/>
      <c r="E49" s="42"/>
      <c r="F49" s="41"/>
      <c r="G49" s="26"/>
      <c r="H49" s="16"/>
      <c r="I49" s="42"/>
      <c r="J49" s="41">
        <f>IF('Back End'!$E$17 = TRUE, 0.01,IF('Back End'!$E$18 = TRUE, 0.005, IF('Back End'!$E$19 = TRUE, 0.005)))*I49</f>
        <v>0</v>
      </c>
      <c r="K49" s="26"/>
      <c r="L49" s="16">
        <f t="shared" si="1"/>
        <v>0</v>
      </c>
      <c r="M49" s="42"/>
      <c r="N49" s="41"/>
      <c r="O49" s="26"/>
      <c r="P49" s="16">
        <f t="shared" si="0"/>
        <v>0</v>
      </c>
      <c r="Q49" s="42"/>
      <c r="R49" s="41"/>
    </row>
    <row r="50" spans="3:18" ht="15" thickBot="1" x14ac:dyDescent="0.35">
      <c r="C50" s="24"/>
      <c r="D50" s="31"/>
      <c r="E50" s="43"/>
      <c r="F50" s="44"/>
      <c r="G50" s="24"/>
      <c r="H50" s="31"/>
      <c r="I50" s="43"/>
      <c r="J50" s="41">
        <f>IF('Back End'!$E$17 = TRUE, 0.01,IF('Back End'!$E$18 = TRUE, 0.005, IF('Back End'!$E$19 = TRUE, 0.005)))*I50</f>
        <v>0</v>
      </c>
      <c r="K50" s="24"/>
      <c r="L50" s="31">
        <f t="shared" si="1"/>
        <v>0</v>
      </c>
      <c r="M50" s="43"/>
      <c r="N50" s="44"/>
      <c r="O50" s="24"/>
      <c r="P50" s="31">
        <f t="shared" si="0"/>
        <v>0</v>
      </c>
      <c r="Q50" s="43"/>
      <c r="R50" s="44"/>
    </row>
    <row r="51" spans="3:18" ht="15" thickBot="1" x14ac:dyDescent="0.35">
      <c r="C51" s="45">
        <f t="shared" ref="C51:N51" si="2">SUM(C3:C50)</f>
        <v>94</v>
      </c>
      <c r="D51" s="46">
        <f t="shared" si="2"/>
        <v>2400</v>
      </c>
      <c r="E51" s="47">
        <f t="shared" si="2"/>
        <v>1190</v>
      </c>
      <c r="F51" s="48">
        <f t="shared" si="2"/>
        <v>52500</v>
      </c>
      <c r="G51" s="45">
        <f t="shared" si="2"/>
        <v>150</v>
      </c>
      <c r="H51" s="46">
        <f t="shared" si="2"/>
        <v>2000</v>
      </c>
      <c r="I51" s="60">
        <f t="shared" si="2"/>
        <v>110000</v>
      </c>
      <c r="J51" s="61">
        <f t="shared" si="2"/>
        <v>550</v>
      </c>
      <c r="K51" s="62">
        <f>SUM(K3:K50)</f>
        <v>0</v>
      </c>
      <c r="L51" s="63">
        <f t="shared" si="2"/>
        <v>0</v>
      </c>
      <c r="M51" s="60">
        <f t="shared" si="2"/>
        <v>0</v>
      </c>
      <c r="N51" s="61">
        <f t="shared" si="2"/>
        <v>0</v>
      </c>
      <c r="O51" s="45">
        <f t="shared" ref="O51:P51" si="3">SUM(O3:O50)</f>
        <v>0</v>
      </c>
      <c r="P51" s="46">
        <f t="shared" si="3"/>
        <v>0</v>
      </c>
      <c r="Q51" s="70">
        <f t="shared" ref="Q51:R51" si="4">SUM(Q3:Q50)</f>
        <v>2000</v>
      </c>
      <c r="R51" s="71">
        <f t="shared" si="4"/>
        <v>300000</v>
      </c>
    </row>
    <row r="52" spans="3:18" ht="15" thickBot="1" x14ac:dyDescent="0.35">
      <c r="I52" s="352">
        <f>SUM(J51,L51,N51)</f>
        <v>550</v>
      </c>
      <c r="J52" s="353"/>
      <c r="K52" s="354"/>
      <c r="L52" s="355">
        <f>SUM(I51,K51,M51)</f>
        <v>110000</v>
      </c>
      <c r="M52" s="355"/>
      <c r="N52" s="356"/>
    </row>
    <row r="53" spans="3:18" ht="15" thickBot="1" x14ac:dyDescent="0.35">
      <c r="I53" s="331" t="s">
        <v>98</v>
      </c>
      <c r="J53" s="357"/>
      <c r="K53" s="332"/>
      <c r="L53" s="357" t="s">
        <v>99</v>
      </c>
      <c r="M53" s="357"/>
      <c r="N53" s="332"/>
    </row>
  </sheetData>
  <mergeCells count="12">
    <mergeCell ref="I52:K52"/>
    <mergeCell ref="L52:N52"/>
    <mergeCell ref="I53:K53"/>
    <mergeCell ref="L53:N53"/>
    <mergeCell ref="I1:J1"/>
    <mergeCell ref="C1:D1"/>
    <mergeCell ref="Q1:R1"/>
    <mergeCell ref="O1:P1"/>
    <mergeCell ref="K1:L1"/>
    <mergeCell ref="E1:F1"/>
    <mergeCell ref="G1:H1"/>
    <mergeCell ref="M1:N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9</xdr:col>
                    <xdr:colOff>541020</xdr:colOff>
                    <xdr:row>0</xdr:row>
                    <xdr:rowOff>190500</xdr:rowOff>
                  </from>
                  <to>
                    <xdr:col>9</xdr:col>
                    <xdr:colOff>769620</xdr:colOff>
                    <xdr:row>0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9</xdr:col>
                    <xdr:colOff>556260</xdr:colOff>
                    <xdr:row>0</xdr:row>
                    <xdr:rowOff>365760</xdr:rowOff>
                  </from>
                  <to>
                    <xdr:col>9</xdr:col>
                    <xdr:colOff>784860</xdr:colOff>
                    <xdr:row>0</xdr:row>
                    <xdr:rowOff>541020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defaultSize="0" autoFill="0" autoLine="0" autoPict="0">
                <anchor moveWithCells="1">
                  <from>
                    <xdr:col>9</xdr:col>
                    <xdr:colOff>335280</xdr:colOff>
                    <xdr:row>0</xdr:row>
                    <xdr:rowOff>563880</xdr:rowOff>
                  </from>
                  <to>
                    <xdr:col>9</xdr:col>
                    <xdr:colOff>563880</xdr:colOff>
                    <xdr:row>0</xdr:row>
                    <xdr:rowOff>723900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90EA9-0836-4B04-AA69-5C00D81CB75F}">
  <sheetPr codeName="Sheet2"/>
  <dimension ref="A1:Y43"/>
  <sheetViews>
    <sheetView workbookViewId="0">
      <selection activeCell="F15" sqref="F15"/>
    </sheetView>
  </sheetViews>
  <sheetFormatPr defaultRowHeight="14.4" x14ac:dyDescent="0.3"/>
  <cols>
    <col min="1" max="1" width="27.109375" customWidth="1"/>
    <col min="2" max="2" width="24.88671875" customWidth="1"/>
    <col min="3" max="6" width="20.88671875" customWidth="1"/>
    <col min="7" max="9" width="20.5546875" customWidth="1"/>
    <col min="10" max="10" width="15.109375" customWidth="1"/>
    <col min="11" max="11" width="14.88671875" customWidth="1"/>
    <col min="12" max="14" width="20.5546875" customWidth="1"/>
    <col min="15" max="15" width="11.21875" bestFit="1" customWidth="1"/>
    <col min="17" max="17" width="25.77734375" customWidth="1"/>
    <col min="18" max="19" width="20.5546875" customWidth="1"/>
    <col min="20" max="20" width="11.21875" bestFit="1" customWidth="1"/>
    <col min="22" max="22" width="25.77734375" customWidth="1"/>
    <col min="23" max="24" width="20.5546875" customWidth="1"/>
    <col min="25" max="25" width="11.21875" bestFit="1" customWidth="1"/>
  </cols>
  <sheetData>
    <row r="1" spans="1:25" x14ac:dyDescent="0.3">
      <c r="Q1" s="359" t="s">
        <v>100</v>
      </c>
      <c r="R1" s="359"/>
      <c r="S1" s="359"/>
      <c r="T1" s="359"/>
      <c r="V1" s="359" t="s">
        <v>101</v>
      </c>
      <c r="W1" s="359"/>
      <c r="X1" s="359"/>
      <c r="Y1" s="359"/>
    </row>
    <row r="2" spans="1:25" x14ac:dyDescent="0.3">
      <c r="A2" s="319" t="s">
        <v>102</v>
      </c>
      <c r="B2" s="319"/>
      <c r="D2" s="319" t="s">
        <v>103</v>
      </c>
      <c r="E2" s="319"/>
      <c r="G2" s="319" t="s">
        <v>104</v>
      </c>
      <c r="H2" s="319"/>
      <c r="I2" s="319"/>
      <c r="J2" s="319"/>
      <c r="L2" s="69" t="s">
        <v>54</v>
      </c>
      <c r="M2" s="5" t="e">
        <f>MIN(_xlfn.FLOOR.MATH(-PV(Calculator!#REF!/12,360,Calculator!#REF!-Calculator!#REF!-Calculator!#REF!-Calculator!#REF!),1000),C.LOANLIMIT)</f>
        <v>#REF!</v>
      </c>
      <c r="Q2" s="69" t="s">
        <v>66</v>
      </c>
      <c r="R2" s="5" t="e" cm="1">
        <f t="array" ref="R2">MIN(_xlfn.FLOOR.MATH(-PV(RATE.FHA,360,Calculator!#REF!-Calculator!#REF!-Calculator!#REF!-Calculator!#REF!),1000),IF('Back End'!E7 = FALSE,_xlfn.FLOOR.MATH(LOANLIMIT.FHA*1.0175,1000), LOANLIMIT.FHA))</f>
        <v>#REF!</v>
      </c>
      <c r="V2" s="69" t="s">
        <v>54</v>
      </c>
      <c r="W2" s="5" t="e" cm="1">
        <f t="array" ref="W2">MIN(_xlfn.FLOOR.MATH(-PV(RATE.FHA,360,Calculator!#REF!-Calculator!#REF!-Calculator!#REF!-Calculator!#REF!),1000),IF('Back End'!E7 = FALSE,_xlfn.FLOOR.MATH(LOANLIMIT.FHA*1.0175,1000), LOANLIMIT.FHA))</f>
        <v>#REF!</v>
      </c>
    </row>
    <row r="3" spans="1:25" x14ac:dyDescent="0.3">
      <c r="A3" s="74">
        <v>0.05</v>
      </c>
      <c r="B3" s="6" t="b">
        <v>1</v>
      </c>
      <c r="D3" s="75">
        <v>3.5000000000000003E-2</v>
      </c>
      <c r="E3" s="6" t="b">
        <v>0</v>
      </c>
      <c r="G3" s="69" t="s">
        <v>49</v>
      </c>
      <c r="H3" s="6" t="b">
        <v>0</v>
      </c>
      <c r="I3" s="69" t="s">
        <v>105</v>
      </c>
      <c r="J3" s="5">
        <f>IF('Back End'!H3=TRUE, 'Back End'!O11,0)</f>
        <v>0</v>
      </c>
      <c r="L3" s="69" t="s">
        <v>74</v>
      </c>
      <c r="M3" s="5" t="e">
        <f>IF('Back End'!B3,_xlfn.FLOOR.MATH(M2/0.95,1000),IF('Back End'!B4,_xlfn.FLOOR.MATH(M2/0.97,1000),IF('Back End'!B5,_xlfn.FLOOR.MATH(M2/(1-Calculator!#REF!),1000),IF('Back End'!B6,_xlfn.FLOOR.MATH(M2+Calculator!#REF!),M2))))</f>
        <v>#REF!</v>
      </c>
      <c r="Q3" s="69" t="s">
        <v>54</v>
      </c>
      <c r="R3" s="5" t="e">
        <f>_xlfn.FLOOR.MATH('Back End'!R2/1.0175,1000)</f>
        <v>#REF!</v>
      </c>
      <c r="V3" s="69" t="s">
        <v>74</v>
      </c>
      <c r="W3" s="5" t="e">
        <f>IF('Back End'!E3,_xlfn.FLOOR.MATH('Back End'!W2/0.965,1000),IF('Back End'!E4,_xlfn.FLOOR.MATH('Back End'!W2/(1-Calculator!#REF!),1000),IF('Back End'!E5,_xlfn.FLOOR.MATH('Back End'!W2+Calculator!#REF!,1000),'Back End'!W2)))</f>
        <v>#REF!</v>
      </c>
    </row>
    <row r="4" spans="1:25" x14ac:dyDescent="0.3">
      <c r="A4" s="74">
        <v>0.03</v>
      </c>
      <c r="B4" s="6" t="b">
        <v>0</v>
      </c>
      <c r="D4" s="69" t="s">
        <v>46</v>
      </c>
      <c r="E4" s="6" t="b">
        <v>1</v>
      </c>
      <c r="G4" s="69" t="s">
        <v>63</v>
      </c>
      <c r="H4" s="6" t="b">
        <v>1</v>
      </c>
      <c r="Q4" s="69" t="s">
        <v>74</v>
      </c>
      <c r="R4" s="5" t="e">
        <f>IF('Back End'!E3,_xlfn.FLOOR.MATH('Back End'!R3/0.965,1000),IF('Back End'!E4,_xlfn.FLOOR.MATH('Back End'!R3/(1-Calculator!#REF!),1000),IF('Back End'!E5,_xlfn.FLOOR.MATH('Back End'!R3+Calculator!#REF!,1000),'Back End'!R3)))</f>
        <v>#REF!</v>
      </c>
    </row>
    <row r="5" spans="1:25" x14ac:dyDescent="0.3">
      <c r="A5" s="69" t="s">
        <v>46</v>
      </c>
      <c r="B5" s="6" t="b">
        <v>0</v>
      </c>
      <c r="D5" s="69" t="s">
        <v>47</v>
      </c>
      <c r="E5" s="6" t="b">
        <v>0</v>
      </c>
      <c r="G5" s="69" t="s">
        <v>45</v>
      </c>
      <c r="H5" s="6" t="b">
        <v>0</v>
      </c>
      <c r="L5" s="69" t="s">
        <v>54</v>
      </c>
      <c r="M5" s="5" t="e">
        <f>MIN(_xlfn.FLOOR.MATH(-PV(Calculator!#REF!/12,360,Calculator!#REF!-O5-Calculator!#REF!-Calculator!#REF!-Calculator!#REF!),1000),C.LOANLIMIT)</f>
        <v>#REF!</v>
      </c>
      <c r="N5" s="12" t="s">
        <v>67</v>
      </c>
      <c r="O5" s="66" t="e">
        <f>_xlfn.CEILING.MATH((Calculator!#REF!*'Back End'!M2)/12,25)</f>
        <v>#REF!</v>
      </c>
      <c r="V5" s="69" t="s">
        <v>54</v>
      </c>
      <c r="W5" s="5" t="e" cm="1">
        <f t="array" ref="W5">MIN(_xlfn.FLOOR.MATH(-PV(RATE.FHA,360,Calculator!#REF!-Y5-Calculator!#REF!-Calculator!#REF!-Calculator!#REF!),1000),IF('Back End'!E7 = FALSE,_xlfn.FLOOR.MATH(LOANLIMIT.FHA*1.0175,1000), LOANLIMIT.FHA))</f>
        <v>#REF!</v>
      </c>
      <c r="X5" s="12" t="s">
        <v>67</v>
      </c>
      <c r="Y5" s="66" t="e">
        <f>_xlfn.CEILING.MATH(('Back End'!W2*0.0085)/12,25)</f>
        <v>#REF!</v>
      </c>
    </row>
    <row r="6" spans="1:25" x14ac:dyDescent="0.3">
      <c r="A6" s="69" t="s">
        <v>47</v>
      </c>
      <c r="B6" s="6" t="b">
        <v>0</v>
      </c>
      <c r="D6" s="4"/>
      <c r="E6" s="4"/>
      <c r="L6" s="69" t="s">
        <v>74</v>
      </c>
      <c r="M6" s="5" t="e">
        <f>IF('Back End'!B3,_xlfn.FLOOR.MATH(M5/0.95,1000),IF('Back End'!B4,_xlfn.FLOOR.MATH(M5/0.97,1000),IF('Back End'!B5,_xlfn.FLOOR.MATH(M5/(1-Calculator!#REF!),1000),IF('Back End'!B6,_xlfn.FLOOR.MATH(M5+Calculator!#REF!),M5))))</f>
        <v>#REF!</v>
      </c>
      <c r="Q6" s="69" t="s">
        <v>66</v>
      </c>
      <c r="R6" s="5" t="e" cm="1">
        <f t="array" ref="R6">MIN(_xlfn.FLOOR.MATH(-PV(RATE.FHA,360,Calculator!#REF!-T6-Calculator!#REF!-Calculator!#REF!-Calculator!#REF!),1000),IF('Back End'!E7 = FALSE,_xlfn.FLOOR.MATH(LOANLIMIT.FHA*1.0175,1000), LOANLIMIT.FHA))</f>
        <v>#REF!</v>
      </c>
      <c r="S6" s="12" t="s">
        <v>67</v>
      </c>
      <c r="T6" s="66" t="e">
        <f>_xlfn.CEILING.MATH(('Back End'!R3*0.0085)/12,25)</f>
        <v>#REF!</v>
      </c>
      <c r="V6" s="69" t="s">
        <v>74</v>
      </c>
      <c r="W6" s="5" t="e">
        <f>IF('Back End'!E6,_xlfn.FLOOR.MATH('Back End'!W5/0.965,1000),IF('Back End'!E7,_xlfn.FLOOR.MATH('Back End'!W5/(1-Calculator!#REF!),1000),IF('Back End'!E8,_xlfn.FLOOR.MATH('Back End'!W5+Calculator!#REF!,1000),'Back End'!W5)))</f>
        <v>#REF!</v>
      </c>
    </row>
    <row r="7" spans="1:25" x14ac:dyDescent="0.3">
      <c r="A7" s="12"/>
      <c r="C7" s="4"/>
      <c r="D7" s="69" t="s">
        <v>106</v>
      </c>
      <c r="E7" s="6" t="b">
        <v>0</v>
      </c>
      <c r="F7" s="4"/>
      <c r="H7" s="319" t="s">
        <v>107</v>
      </c>
      <c r="I7" s="319"/>
      <c r="O7" s="4"/>
      <c r="Q7" s="69" t="s">
        <v>54</v>
      </c>
      <c r="R7" s="5" t="e">
        <f>_xlfn.FLOOR.MATH('Back End'!R6/1.0175,1000)</f>
        <v>#REF!</v>
      </c>
      <c r="Y7" s="4"/>
    </row>
    <row r="8" spans="1:25" x14ac:dyDescent="0.3">
      <c r="H8" s="69" t="s">
        <v>105</v>
      </c>
      <c r="I8" s="76" t="e">
        <f>IF('Back End'!E7=FALSE, 'Back End'!T14,'Back End'!Y13)</f>
        <v>#REF!</v>
      </c>
      <c r="J8" s="14"/>
      <c r="L8" s="69" t="s">
        <v>54</v>
      </c>
      <c r="M8" s="5" t="e">
        <f>MIN(_xlfn.FLOOR.MATH(-PV(Calculator!#REF!/12,360,Calculator!#REF!-O8-Calculator!#REF!-Calculator!#REF!-Calculator!#REF!),1000),C.LOANLIMIT)</f>
        <v>#REF!</v>
      </c>
      <c r="N8" s="12" t="s">
        <v>67</v>
      </c>
      <c r="O8" s="66" t="e">
        <f>_xlfn.CEILING.MATH((Calculator!#REF!*'Back End'!M5)/12,25)</f>
        <v>#REF!</v>
      </c>
      <c r="Q8" s="69" t="s">
        <v>74</v>
      </c>
      <c r="R8" s="5" t="e">
        <f>IF('Back End'!E3,_xlfn.FLOOR.MATH('Back End'!R7/0.965,1000),IF('Back End'!E4,_xlfn.FLOOR.MATH('Back End'!R7/(1-Calculator!#REF!),1000),IF('Back End'!E5,_xlfn.FLOOR.MATH('Back End'!R7+Calculator!#REF!,1000),'Back End'!R7)))</f>
        <v>#REF!</v>
      </c>
      <c r="T8" s="4"/>
      <c r="V8" s="69" t="s">
        <v>54</v>
      </c>
      <c r="W8" s="5" t="e" cm="1">
        <f t="array" ref="W8">MIN(_xlfn.FLOOR.MATH(-PV(RATE.FHA,360,Calculator!#REF!-Y9-Calculator!#REF!-Calculator!#REF!-Calculator!#REF!),1000),IF('Back End'!E7 = FALSE,_xlfn.FLOOR.MATH(LOANLIMIT.FHA*1.0175,1000), LOANLIMIT.FHA))</f>
        <v>#REF!</v>
      </c>
      <c r="Y8" s="4"/>
    </row>
    <row r="9" spans="1:25" x14ac:dyDescent="0.3">
      <c r="D9" s="12"/>
      <c r="E9" s="12"/>
      <c r="L9" s="69" t="s">
        <v>74</v>
      </c>
      <c r="M9" s="5" t="e">
        <f>IF('Back End'!B3,_xlfn.FLOOR.MATH(M8/0.95,1000),IF('Back End'!B4,_xlfn.FLOOR.MATH(M8/0.97,1000),IF('Back End'!B5,_xlfn.FLOOR.MATH(M8/(1-Calculator!#REF!),1000),IF('Back End'!B6,_xlfn.FLOOR.MATH(M8+Calculator!#REF!),M8))))</f>
        <v>#REF!</v>
      </c>
      <c r="T9" s="4"/>
      <c r="V9" s="69" t="s">
        <v>74</v>
      </c>
      <c r="W9" s="5" t="e">
        <f>IF('Back End'!E9,_xlfn.FLOOR.MATH('Back End'!W8/0.965,1000),IF('Back End'!E10,_xlfn.FLOOR.MATH('Back End'!W8/(1-Calculator!#REF!),1000),IF('Back End'!E11,_xlfn.FLOOR.MATH('Back End'!W8+Calculator!#REF!,1000),'Back End'!W8)))</f>
        <v>#REF!</v>
      </c>
      <c r="X9" s="12" t="s">
        <v>67</v>
      </c>
      <c r="Y9" s="66" t="e">
        <f>_xlfn.CEILING.MATH(('Back End'!W5*0.0085)/12,25)</f>
        <v>#REF!</v>
      </c>
    </row>
    <row r="10" spans="1:25" x14ac:dyDescent="0.3">
      <c r="D10" s="4"/>
      <c r="E10" s="4"/>
      <c r="F10" s="12"/>
      <c r="Q10" s="69" t="s">
        <v>66</v>
      </c>
      <c r="R10" s="5" t="e" cm="1">
        <f t="array" ref="R10">MIN(_xlfn.FLOOR.MATH(-PV(RATE.FHA,360,Calculator!#REF!-T10-Calculator!#REF!-Calculator!#REF!-Calculator!#REF!),1000),IF('Back End'!E7 = FALSE,_xlfn.FLOOR.MATH(LOANLIMIT.FHA*1.0175,1000), LOANLIMIT.FHA))</f>
        <v>#REF!</v>
      </c>
      <c r="S10" s="12" t="s">
        <v>67</v>
      </c>
      <c r="T10" s="66" t="e">
        <f>_xlfn.CEILING.MATH(('Back End'!R7*0.0085)/12,25)</f>
        <v>#REF!</v>
      </c>
    </row>
    <row r="11" spans="1:25" x14ac:dyDescent="0.3">
      <c r="A11" s="319" t="s">
        <v>43</v>
      </c>
      <c r="B11" s="319"/>
      <c r="D11" s="6" t="s">
        <v>121</v>
      </c>
      <c r="E11" s="6">
        <v>360</v>
      </c>
      <c r="F11" s="4"/>
      <c r="N11" s="12" t="s">
        <v>67</v>
      </c>
      <c r="O11" s="66" t="e">
        <f>_xlfn.CEILING.MATH((Calculator!#REF!*'Back End'!M8)/12,1)</f>
        <v>#REF!</v>
      </c>
      <c r="Q11" s="69" t="s">
        <v>54</v>
      </c>
      <c r="R11" s="5" t="e">
        <f>_xlfn.FLOOR.MATH('Back End'!R10/1.0175,1000)</f>
        <v>#REF!</v>
      </c>
    </row>
    <row r="12" spans="1:25" x14ac:dyDescent="0.3">
      <c r="A12" s="7">
        <v>5.4999999999999997E-3</v>
      </c>
      <c r="B12" s="11" t="e">
        <f>_xlfn.CEILING.MATH(-PV((#REF!)/12,360,Calculator!D8)*A12/12,25)</f>
        <v>#REF!</v>
      </c>
      <c r="Q12" s="69" t="s">
        <v>74</v>
      </c>
      <c r="R12" s="5" t="e">
        <f>IF('Back End'!E3,_xlfn.FLOOR.MATH('Back End'!R11/0.965,1000),IF('Back End'!E4,_xlfn.FLOOR.MATH('Back End'!R11/(1-Calculator!#REF!),1000),IF('Back End'!E5,_xlfn.FLOOR.MATH('Back End'!R11+Calculator!#REF!,1000),'Back End'!R3)))</f>
        <v>#REF!</v>
      </c>
    </row>
    <row r="13" spans="1:25" x14ac:dyDescent="0.3">
      <c r="A13" s="7">
        <v>1.7500000000000002E-2</v>
      </c>
      <c r="X13" s="12" t="s">
        <v>67</v>
      </c>
      <c r="Y13" s="66" t="e">
        <f>_xlfn.CEILING.MATH(('Back End'!W8*0.0085)/12,1)</f>
        <v>#REF!</v>
      </c>
    </row>
    <row r="14" spans="1:25" x14ac:dyDescent="0.3">
      <c r="A14" s="12"/>
      <c r="S14" s="12" t="s">
        <v>67</v>
      </c>
      <c r="T14" s="66" t="e">
        <f>_xlfn.CEILING.MATH(('Back End'!R11*0.0085)/12,1)</f>
        <v>#REF!</v>
      </c>
    </row>
    <row r="15" spans="1:25" x14ac:dyDescent="0.3">
      <c r="A15" s="12"/>
      <c r="L15" s="69" t="s">
        <v>54</v>
      </c>
      <c r="M15" s="5">
        <f>MIN(_xlfn.FLOOR.MATH(-PV(RATE/12,360,MaxPMTConv-'Loan Options Sheet'!$CH$54 - 'Loan Options Sheet'!$CH$55 - 'Loan Options Sheet'!$CH$57),1000),C.LOANLIMIT)</f>
        <v>0</v>
      </c>
      <c r="Q15" s="138"/>
      <c r="R15" s="138"/>
      <c r="S15" s="138"/>
      <c r="T15" s="138"/>
      <c r="U15" s="138"/>
      <c r="V15" s="138"/>
      <c r="W15" s="138"/>
      <c r="X15" s="138"/>
      <c r="Y15" s="138"/>
    </row>
    <row r="16" spans="1:25" x14ac:dyDescent="0.3">
      <c r="A16" s="12"/>
      <c r="D16" s="319" t="s">
        <v>108</v>
      </c>
      <c r="E16" s="319"/>
      <c r="L16" s="12"/>
      <c r="M16" s="14"/>
      <c r="Q16" s="359" t="s">
        <v>100</v>
      </c>
      <c r="R16" s="359"/>
      <c r="S16" s="359"/>
      <c r="T16" s="359"/>
      <c r="V16" s="359" t="s">
        <v>101</v>
      </c>
      <c r="W16" s="359"/>
      <c r="X16" s="359"/>
      <c r="Y16" s="359"/>
    </row>
    <row r="17" spans="1:25" x14ac:dyDescent="0.3">
      <c r="A17" s="69" t="s">
        <v>109</v>
      </c>
      <c r="B17" s="6" t="b">
        <v>0</v>
      </c>
      <c r="D17" s="69" t="s">
        <v>110</v>
      </c>
      <c r="E17" s="6" t="b">
        <v>0</v>
      </c>
      <c r="I17" s="12"/>
      <c r="Q17" s="69" t="s">
        <v>66</v>
      </c>
      <c r="R17" s="5" cm="1">
        <f t="array" ref="R17">MIN(_xlfn.FLOOR.MATH(-PV(RATE/12,360,'Loan Options Sheet'!BX38-'Loan Options Sheet'!CH54 - 'Loan Options Sheet'!CH55 - 'Loan Options Sheet'!CH57),1000),_xlfn.FLOOR.MATH(LOANLIMIT.FHA*1.0175,1000))</f>
        <v>0</v>
      </c>
      <c r="V17" s="69" t="s">
        <v>54</v>
      </c>
      <c r="W17" s="5">
        <f>MIN(_xlfn.FLOOR.MATH(-PV(RATE/12,360,'Loan Options Sheet'!$BX$38-'Loan Options Sheet'!$CH$54 - 'Loan Options Sheet'!$CH$55 - 'Loan Options Sheet'!$CH$57),1000),LOANLIMIT.FHA)</f>
        <v>0</v>
      </c>
    </row>
    <row r="18" spans="1:25" x14ac:dyDescent="0.3">
      <c r="A18" s="69" t="s">
        <v>111</v>
      </c>
      <c r="B18" s="6" t="b">
        <v>0</v>
      </c>
      <c r="D18" s="69" t="s">
        <v>112</v>
      </c>
      <c r="E18" s="6" t="b">
        <v>1</v>
      </c>
      <c r="L18" s="69" t="s">
        <v>54</v>
      </c>
      <c r="M18" s="5">
        <f>MIN(_xlfn.FLOOR.MATH(-PV(RATE/12,360,MaxPMTConv-O18-'Loan Options Sheet'!$CH$54 - 'Loan Options Sheet'!$CH$55 - 'Loan Options Sheet'!$CH$57),1000),C.LOANLIMIT)</f>
        <v>0</v>
      </c>
      <c r="N18" s="12" t="s">
        <v>67</v>
      </c>
      <c r="O18" s="66">
        <f>_xlfn.CEILING.MATH(('Loan Options Sheet'!$BM$56*'Back End'!M15)/12,25)</f>
        <v>0</v>
      </c>
      <c r="Q18" s="69" t="s">
        <v>54</v>
      </c>
      <c r="R18" s="5">
        <f>_xlfn.FLOOR.MATH('Back End'!R17/1.0175,1000)</f>
        <v>0</v>
      </c>
      <c r="V18" s="69" t="s">
        <v>74</v>
      </c>
      <c r="W18" s="5">
        <v>0</v>
      </c>
    </row>
    <row r="19" spans="1:25" x14ac:dyDescent="0.3">
      <c r="A19" s="69" t="s">
        <v>113</v>
      </c>
      <c r="B19" s="6" t="b">
        <v>0</v>
      </c>
      <c r="D19" s="69" t="s">
        <v>43</v>
      </c>
      <c r="E19" s="6" t="b">
        <v>0</v>
      </c>
      <c r="L19" s="12"/>
      <c r="M19" s="14"/>
      <c r="Q19" s="69" t="s">
        <v>74</v>
      </c>
      <c r="R19" s="5"/>
    </row>
    <row r="20" spans="1:25" x14ac:dyDescent="0.3">
      <c r="D20" s="64"/>
      <c r="E20" s="64"/>
      <c r="O20" s="4"/>
      <c r="V20" s="69" t="s">
        <v>54</v>
      </c>
      <c r="W20" s="5">
        <f>MIN(_xlfn.FLOOR.MATH(-PV(RATE/12,360,'Loan Options Sheet'!$BX$38-Y20-'Loan Options Sheet'!$CH$54 - 'Loan Options Sheet'!$CH$55 - 'Loan Options Sheet'!$CH$57),1000),LOANLIMIT.FHA)</f>
        <v>0</v>
      </c>
      <c r="X20" s="12" t="s">
        <v>67</v>
      </c>
      <c r="Y20" s="66">
        <f>_xlfn.CEILING.MATH(('Back End'!W17*0.0085)/12,25)</f>
        <v>0</v>
      </c>
    </row>
    <row r="21" spans="1:25" x14ac:dyDescent="0.3">
      <c r="L21" s="69" t="s">
        <v>54</v>
      </c>
      <c r="M21" s="5">
        <f>MIN(_xlfn.FLOOR.MATH(-PV(RATE/12,360,MaxPMTConv-O21-'Loan Options Sheet'!$CH$54 - 'Loan Options Sheet'!$CH$55 - 'Loan Options Sheet'!$CH$57),1000),C.LOANLIMIT)</f>
        <v>0</v>
      </c>
      <c r="N21" s="12" t="s">
        <v>67</v>
      </c>
      <c r="O21" s="66">
        <f>_xlfn.CEILING.MATH(('Loan Options Sheet'!$BM$56*'Back End'!M18)/12,25)</f>
        <v>0</v>
      </c>
      <c r="Q21" s="69" t="s">
        <v>66</v>
      </c>
      <c r="R21" s="5" cm="1">
        <f t="array" ref="R21">MIN(_xlfn.FLOOR.MATH(-PV(RATE/12,360,'Loan Options Sheet'!$BX$38-T21-'Loan Options Sheet'!$CH$54 - 'Loan Options Sheet'!$CH$55 - 'Loan Options Sheet'!$CH$57),1000),_xlfn.FLOOR.MATH(LOANLIMIT.FHA*1.0175,1000))</f>
        <v>0</v>
      </c>
      <c r="S21" s="12" t="s">
        <v>67</v>
      </c>
      <c r="T21" s="66">
        <f>_xlfn.CEILING.MATH(('Back End'!R18*0.0085)/12,25)</f>
        <v>0</v>
      </c>
      <c r="V21" s="69" t="s">
        <v>74</v>
      </c>
      <c r="W21" s="5">
        <v>0</v>
      </c>
    </row>
    <row r="22" spans="1:25" x14ac:dyDescent="0.3">
      <c r="A22" s="362" t="s">
        <v>114</v>
      </c>
      <c r="B22" s="363"/>
      <c r="C22" s="364"/>
      <c r="L22" s="12"/>
      <c r="M22" s="14"/>
      <c r="Q22" s="69" t="s">
        <v>54</v>
      </c>
      <c r="R22" s="5">
        <f>_xlfn.FLOOR.MATH('Back End'!R21/1.0175,1000)</f>
        <v>0</v>
      </c>
      <c r="Y22" s="4"/>
    </row>
    <row r="23" spans="1:25" x14ac:dyDescent="0.3">
      <c r="A23" s="20" t="s">
        <v>115</v>
      </c>
      <c r="B23" s="21">
        <v>530150</v>
      </c>
      <c r="C23" s="6" t="b">
        <v>1</v>
      </c>
      <c r="F23" s="64"/>
      <c r="Q23" s="69" t="s">
        <v>74</v>
      </c>
      <c r="R23" s="5"/>
      <c r="T23" s="4"/>
      <c r="V23" s="69" t="s">
        <v>54</v>
      </c>
      <c r="W23" s="5">
        <f>MIN(_xlfn.FLOOR.MATH(-PV(RATE/12,360,'Loan Options Sheet'!$BX$38-Y24-'Loan Options Sheet'!$CH$54 - 'Loan Options Sheet'!$CH$55 - 'Loan Options Sheet'!$CH$57),1000),LOANLIMIT.FHA)</f>
        <v>0</v>
      </c>
      <c r="Y23" s="4"/>
    </row>
    <row r="24" spans="1:25" x14ac:dyDescent="0.3">
      <c r="A24" s="20" t="s">
        <v>116</v>
      </c>
      <c r="B24" s="21">
        <v>423200</v>
      </c>
      <c r="C24" s="6" t="b">
        <v>0</v>
      </c>
      <c r="N24" s="12" t="s">
        <v>67</v>
      </c>
      <c r="O24" s="66">
        <f>_xlfn.CEILING.MATH(('Loan Options Sheet'!$BM$56*'Back End'!M21)/12,1)</f>
        <v>0</v>
      </c>
      <c r="T24" s="4"/>
      <c r="V24" s="69" t="s">
        <v>74</v>
      </c>
      <c r="W24" s="5">
        <v>0</v>
      </c>
      <c r="X24" s="12" t="s">
        <v>67</v>
      </c>
      <c r="Y24" s="66">
        <f>_xlfn.CEILING.MATH(('Back End'!W20*0.0085)/12,25)</f>
        <v>0</v>
      </c>
    </row>
    <row r="25" spans="1:25" x14ac:dyDescent="0.3">
      <c r="A25" s="20" t="s">
        <v>117</v>
      </c>
      <c r="B25" s="21">
        <v>420680</v>
      </c>
      <c r="C25" s="6" t="b">
        <v>0</v>
      </c>
      <c r="Q25" s="69" t="s">
        <v>66</v>
      </c>
      <c r="R25" s="5" cm="1">
        <f t="array" ref="R25">MIN(_xlfn.FLOOR.MATH(-PV(RATE/12,360,'Loan Options Sheet'!$BX$38-T25-'Loan Options Sheet'!$CH$54 - 'Loan Options Sheet'!$CH$55 - 'Loan Options Sheet'!$CH$57),1000),_xlfn.FLOOR.MATH(LOANLIMIT.FHA*1.0175,1000))</f>
        <v>0</v>
      </c>
      <c r="S25" s="12" t="s">
        <v>67</v>
      </c>
      <c r="T25" s="66">
        <f>_xlfn.CEILING.MATH(('Back End'!R22*0.0085)/12,25)</f>
        <v>0</v>
      </c>
    </row>
    <row r="26" spans="1:25" x14ac:dyDescent="0.3">
      <c r="D26" s="12"/>
      <c r="E26" s="12"/>
      <c r="Q26" s="69" t="s">
        <v>54</v>
      </c>
      <c r="R26" s="5">
        <f>_xlfn.FLOOR.MATH('Back End'!R25/1.0175,1000)</f>
        <v>0</v>
      </c>
    </row>
    <row r="27" spans="1:25" ht="15" thickBot="1" x14ac:dyDescent="0.35">
      <c r="Q27" s="69" t="s">
        <v>74</v>
      </c>
      <c r="R27" s="5"/>
    </row>
    <row r="28" spans="1:25" ht="15" thickBot="1" x14ac:dyDescent="0.35">
      <c r="A28" s="360" t="s">
        <v>48</v>
      </c>
      <c r="B28" s="361"/>
      <c r="C28" s="56" t="s">
        <v>118</v>
      </c>
      <c r="X28" s="12" t="s">
        <v>67</v>
      </c>
      <c r="Y28" s="66">
        <f>_xlfn.CEILING.MATH(('Back End'!W23*0.0085)/12,1)</f>
        <v>0</v>
      </c>
    </row>
    <row r="29" spans="1:25" x14ac:dyDescent="0.3">
      <c r="A29" s="17" t="s">
        <v>52</v>
      </c>
      <c r="B29" s="52">
        <f>IF(C29 = FALSE,Debts!C51,0)</f>
        <v>94</v>
      </c>
      <c r="C29" s="49" t="b">
        <v>0</v>
      </c>
      <c r="F29" s="12"/>
      <c r="S29" s="12" t="s">
        <v>67</v>
      </c>
      <c r="T29" s="66">
        <f>_xlfn.CEILING.MATH(('Back End'!R26*0.0085)/12,1)</f>
        <v>0</v>
      </c>
    </row>
    <row r="30" spans="1:25" x14ac:dyDescent="0.3">
      <c r="A30" s="18" t="s">
        <v>53</v>
      </c>
      <c r="B30" s="53">
        <f>IF(C30 = FALSE,Debts!E51,0)</f>
        <v>1190</v>
      </c>
      <c r="C30" s="58" t="b">
        <v>0</v>
      </c>
    </row>
    <row r="31" spans="1:25" x14ac:dyDescent="0.3">
      <c r="A31" s="18" t="s">
        <v>55</v>
      </c>
      <c r="B31" s="53">
        <f>IF(C31 = FALSE,Debts!G51,0)</f>
        <v>150</v>
      </c>
      <c r="C31" s="50" t="b">
        <v>0</v>
      </c>
      <c r="L31" s="69" t="s">
        <v>54</v>
      </c>
      <c r="M31" s="5">
        <f>MIN(_xlfn.FLOOR.MATH(-PV(RATE/12,360,Calculator!D46-'Loan Options Sheet'!$CH$54 - 'Loan Options Sheet'!$CH$55 - 'Loan Options Sheet'!$CH$57),1000),C.LOANLIMIT)</f>
        <v>0</v>
      </c>
      <c r="Q31" s="69" t="s">
        <v>66</v>
      </c>
      <c r="R31" s="5" cm="1">
        <f t="array" ref="R31">MIN(_xlfn.FLOOR.MATH(-PV(RATE/12,360,'Loan Options Sheet'!BX52-'Loan Options Sheet'!CH68 - 'Loan Options Sheet'!CH69 - 'Loan Options Sheet'!CH71),1000),_xlfn.FLOOR.MATH(LOANLIMIT.FHA*1.0175,1000))</f>
        <v>0</v>
      </c>
    </row>
    <row r="32" spans="1:25" x14ac:dyDescent="0.3">
      <c r="A32" s="18" t="s">
        <v>58</v>
      </c>
      <c r="B32" s="53">
        <f>IF(C32 = FALSE,Debts!I52,0)</f>
        <v>550</v>
      </c>
      <c r="C32" s="59" t="b">
        <v>0</v>
      </c>
      <c r="L32" s="69"/>
      <c r="M32" s="5"/>
      <c r="Q32" s="69" t="s">
        <v>54</v>
      </c>
      <c r="R32" s="5">
        <f>_xlfn.FLOOR.MATH('Back End'!R31/1.0175,1000)</f>
        <v>0</v>
      </c>
    </row>
    <row r="33" spans="1:20" x14ac:dyDescent="0.3">
      <c r="A33" s="51" t="s">
        <v>93</v>
      </c>
      <c r="B33" s="57">
        <f>IF(C33 = FALSE,Debts!Q51,0)</f>
        <v>2000</v>
      </c>
      <c r="C33" s="58" t="b">
        <v>0</v>
      </c>
      <c r="Q33" s="69" t="s">
        <v>74</v>
      </c>
      <c r="R33" s="5"/>
    </row>
    <row r="34" spans="1:20" ht="15" thickBot="1" x14ac:dyDescent="0.35">
      <c r="A34" s="19" t="s">
        <v>60</v>
      </c>
      <c r="B34" s="54">
        <f>IF(C34 = FALSE,Debts!P51,0)</f>
        <v>0</v>
      </c>
      <c r="C34" s="55" t="b">
        <v>0</v>
      </c>
      <c r="L34" s="69" t="s">
        <v>54</v>
      </c>
      <c r="M34" s="5">
        <f>MIN(_xlfn.FLOOR.MATH(-PV(RATE/12,360,Calculator!D46-O34-'Loan Options Sheet'!$CH$54 - 'Loan Options Sheet'!$CH$55 - 'Loan Options Sheet'!$CH$57),1000),C.LOANLIMIT)</f>
        <v>0</v>
      </c>
      <c r="N34" s="12" t="s">
        <v>67</v>
      </c>
      <c r="O34" s="66">
        <f>_xlfn.CEILING.MATH(('Loan Options Sheet'!$BM$56*'Back End'!M31)/12,25)</f>
        <v>0</v>
      </c>
    </row>
    <row r="35" spans="1:20" x14ac:dyDescent="0.3">
      <c r="L35" s="12"/>
      <c r="M35" s="14"/>
      <c r="Q35" s="69" t="s">
        <v>66</v>
      </c>
      <c r="R35" s="5" cm="1">
        <f t="array" ref="R35">MIN(_xlfn.FLOOR.MATH(-PV(RATE/12,360,'Loan Options Sheet'!$BX$38-T35-'Loan Options Sheet'!$CH$54 - 'Loan Options Sheet'!$CH$55 - 'Loan Options Sheet'!$CH$57),1000),_xlfn.FLOOR.MATH(LOANLIMIT.FHA*1.0175,1000))</f>
        <v>0</v>
      </c>
      <c r="S35" s="12" t="s">
        <v>67</v>
      </c>
      <c r="T35" s="66">
        <f>_xlfn.CEILING.MATH(('Back End'!R32*0.0085)/12,25)</f>
        <v>0</v>
      </c>
    </row>
    <row r="36" spans="1:20" x14ac:dyDescent="0.3">
      <c r="O36" s="4"/>
      <c r="Q36" s="69" t="s">
        <v>54</v>
      </c>
      <c r="R36" s="5">
        <f>_xlfn.FLOOR.MATH('Back End'!R35/1.0175,1000)</f>
        <v>0</v>
      </c>
    </row>
    <row r="37" spans="1:20" x14ac:dyDescent="0.3">
      <c r="L37" s="69" t="s">
        <v>54</v>
      </c>
      <c r="M37" s="5">
        <f>MIN(_xlfn.FLOOR.MATH(-PV(RATE/12,360,Calculator!D46-O37-'Loan Options Sheet'!$CH$54 - 'Loan Options Sheet'!$CH$55 - 'Loan Options Sheet'!$CH$57),1000),C.LOANLIMIT)</f>
        <v>0</v>
      </c>
      <c r="N37" s="12" t="s">
        <v>67</v>
      </c>
      <c r="O37" s="66">
        <f>_xlfn.CEILING.MATH(('Loan Options Sheet'!$BM$56*'Back End'!M34)/12,25)</f>
        <v>0</v>
      </c>
      <c r="Q37" s="69" t="s">
        <v>74</v>
      </c>
      <c r="R37" s="5"/>
      <c r="T37" s="4"/>
    </row>
    <row r="38" spans="1:20" x14ac:dyDescent="0.3">
      <c r="L38" s="12"/>
      <c r="M38" s="14"/>
      <c r="T38" s="4"/>
    </row>
    <row r="39" spans="1:20" x14ac:dyDescent="0.3">
      <c r="Q39" s="69" t="s">
        <v>66</v>
      </c>
      <c r="R39" s="5" cm="1">
        <f t="array" ref="R39">MIN(_xlfn.FLOOR.MATH(-PV(RATE/12,360,'Loan Options Sheet'!$BX$38-T39-'Loan Options Sheet'!$CH$54 - 'Loan Options Sheet'!$CH$55 - 'Loan Options Sheet'!$CH$57),1000),_xlfn.FLOOR.MATH(LOANLIMIT.FHA*1.0175,1000))</f>
        <v>0</v>
      </c>
      <c r="S39" s="12" t="s">
        <v>67</v>
      </c>
      <c r="T39" s="66">
        <f>_xlfn.CEILING.MATH(('Back End'!R36*0.0085)/12,25)</f>
        <v>0</v>
      </c>
    </row>
    <row r="40" spans="1:20" x14ac:dyDescent="0.3">
      <c r="N40" s="12" t="s">
        <v>67</v>
      </c>
      <c r="O40" s="66">
        <f>_xlfn.CEILING.MATH(('Loan Options Sheet'!$BM$56*'Back End'!M37)/12,1)</f>
        <v>0</v>
      </c>
      <c r="Q40" s="69" t="s">
        <v>54</v>
      </c>
      <c r="R40" s="5">
        <f>_xlfn.FLOOR.MATH('Back End'!R39/1.0175,1000)</f>
        <v>0</v>
      </c>
    </row>
    <row r="41" spans="1:20" x14ac:dyDescent="0.3">
      <c r="Q41" s="69" t="s">
        <v>74</v>
      </c>
      <c r="R41" s="5"/>
    </row>
    <row r="43" spans="1:20" x14ac:dyDescent="0.3">
      <c r="S43" s="12" t="s">
        <v>67</v>
      </c>
      <c r="T43" s="66">
        <f>_xlfn.CEILING.MATH(('Back End'!R40*0.0085)/12,1)</f>
        <v>0</v>
      </c>
    </row>
  </sheetData>
  <mergeCells count="12">
    <mergeCell ref="Q16:T16"/>
    <mergeCell ref="V16:Y16"/>
    <mergeCell ref="A28:B28"/>
    <mergeCell ref="A22:C22"/>
    <mergeCell ref="A11:B11"/>
    <mergeCell ref="D16:E16"/>
    <mergeCell ref="H7:I7"/>
    <mergeCell ref="A2:B2"/>
    <mergeCell ref="Q1:T1"/>
    <mergeCell ref="V1:Y1"/>
    <mergeCell ref="G2:J2"/>
    <mergeCell ref="D2:E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7B071-215E-4513-A0D9-2D3949789DAB}">
  <sheetPr codeName="Sheet5"/>
  <dimension ref="B1:X55"/>
  <sheetViews>
    <sheetView workbookViewId="0">
      <selection activeCell="J6" sqref="J6"/>
    </sheetView>
  </sheetViews>
  <sheetFormatPr defaultRowHeight="14.4" x14ac:dyDescent="0.3"/>
  <cols>
    <col min="2" max="2" width="13" customWidth="1"/>
    <col min="3" max="3" width="12.33203125" customWidth="1"/>
    <col min="4" max="4" width="15.77734375" customWidth="1"/>
    <col min="7" max="7" width="13" customWidth="1"/>
    <col min="8" max="8" width="12.33203125" customWidth="1"/>
    <col min="9" max="9" width="15.77734375" customWidth="1"/>
    <col min="10" max="10" width="11.21875" customWidth="1"/>
    <col min="11" max="11" width="8.88671875" style="193"/>
    <col min="12" max="12" width="0" style="193" hidden="1" customWidth="1"/>
    <col min="13" max="13" width="16.5546875" style="193" hidden="1" customWidth="1"/>
    <col min="14" max="14" width="21.5546875" style="193" hidden="1" customWidth="1"/>
    <col min="15" max="15" width="12" style="193" hidden="1" customWidth="1"/>
    <col min="16" max="16" width="7.109375" style="193" hidden="1" customWidth="1"/>
    <col min="17" max="17" width="6" style="193" hidden="1" customWidth="1"/>
    <col min="18" max="18" width="0" style="193" hidden="1" customWidth="1"/>
    <col min="19" max="19" width="12.33203125" style="193" hidden="1" customWidth="1"/>
    <col min="20" max="20" width="10.77734375" style="193" hidden="1" customWidth="1"/>
    <col min="21" max="21" width="11.33203125" style="193" hidden="1" customWidth="1"/>
    <col min="22" max="22" width="16.109375" style="193" hidden="1" customWidth="1"/>
    <col min="23" max="23" width="12" style="193" hidden="1" customWidth="1"/>
    <col min="24" max="24" width="8.88671875" style="193"/>
  </cols>
  <sheetData>
    <row r="1" spans="2:23" x14ac:dyDescent="0.3">
      <c r="B1" s="319" t="s">
        <v>42</v>
      </c>
      <c r="C1" s="319"/>
      <c r="D1" s="318" t="s">
        <v>23</v>
      </c>
      <c r="G1" s="319" t="s">
        <v>43</v>
      </c>
      <c r="H1" s="319"/>
      <c r="I1" s="318" t="s">
        <v>23</v>
      </c>
      <c r="J1" s="192"/>
      <c r="M1" s="365" t="s">
        <v>54</v>
      </c>
      <c r="N1" s="365" t="s">
        <v>66</v>
      </c>
      <c r="O1" s="365" t="s">
        <v>78</v>
      </c>
      <c r="P1" s="194" t="s">
        <v>107</v>
      </c>
      <c r="Q1" s="195">
        <v>5.4999999999999997E-3</v>
      </c>
      <c r="T1" s="366" t="s">
        <v>54</v>
      </c>
      <c r="U1" s="366"/>
      <c r="V1" s="366"/>
      <c r="W1" s="365" t="s">
        <v>78</v>
      </c>
    </row>
    <row r="2" spans="2:23" x14ac:dyDescent="0.3">
      <c r="B2" s="6" t="s">
        <v>119</v>
      </c>
      <c r="C2" s="6" t="s">
        <v>120</v>
      </c>
      <c r="D2" s="318"/>
      <c r="G2" s="6" t="s">
        <v>119</v>
      </c>
      <c r="H2" s="6" t="s">
        <v>120</v>
      </c>
      <c r="I2" s="318"/>
      <c r="J2" s="192"/>
      <c r="M2" s="365"/>
      <c r="N2" s="365"/>
      <c r="O2" s="365"/>
      <c r="S2" s="193" t="s">
        <v>57</v>
      </c>
      <c r="T2" s="193" t="s">
        <v>67</v>
      </c>
      <c r="U2" s="193" t="s">
        <v>72</v>
      </c>
      <c r="V2" s="193" t="s">
        <v>77</v>
      </c>
      <c r="W2" s="365"/>
    </row>
    <row r="3" spans="2:23" x14ac:dyDescent="0.3">
      <c r="B3" s="191">
        <v>5.3749999999999999E-2</v>
      </c>
      <c r="C3" s="191">
        <v>4.5499999999999999E-2</v>
      </c>
      <c r="D3" s="5">
        <f>IF(ISBLANK(B3)," ",IF(Calculator!$G$31=TRUE,_xlfn.FLOOR.MATH(S3/(1-'Loan Options Sheet'!$DD$58),1000),IF(Calculator!$H$31=TRUE,_xlfn.FLOOR.MATH(S3+'Loan Options Sheet'!$DK$58,1000),S3)))</f>
        <v>-1000</v>
      </c>
      <c r="G3" s="191">
        <v>4.8750000000000002E-2</v>
      </c>
      <c r="H3" s="191">
        <v>4.5499999999999999E-2</v>
      </c>
      <c r="I3" s="5">
        <f>IF(ISBLANK(G3)," ",IF(Calculator!$G$31=TRUE,_xlfn.FLOOR.MATH(M3/(1-'Loan Options Sheet'!$DD$58),1000),IF(Calculator!$H$31=TRUE,_xlfn.FLOOR.MATH(M3+'Loan Options Sheet'!$DK$58,1000),M3)))</f>
        <v>-1000</v>
      </c>
      <c r="J3" s="14"/>
      <c r="M3" s="193">
        <f>_xlfn.FLOOR.MATH(N3/1.0175,1000)</f>
        <v>-1000</v>
      </c>
      <c r="N3" s="193" cm="1">
        <f t="array" ref="N3">MIN(_xlfn.FLOOR.MATH(((MaxPMTFHA-2)-'Loan Options Sheet'!$CH$54-'Loan Options Sheet'!$CH$55-'Loan Options Sheet'!$CH$57)/(($Q$1/12)+O3*G3/(12*(O3-1))),1000),_xlfn.FLOOR.MATH(LOANLIMIT.FHA*1.0175,1000))</f>
        <v>-1000</v>
      </c>
      <c r="O3" s="193">
        <f t="shared" ref="O3:O34" si="0">(1+G3/12)^360</f>
        <v>4.303967699613291</v>
      </c>
      <c r="S3" s="193">
        <f>IF(Calculator!D26=TRUE,T3,IF(Calculator!D27=TRUE,U3,V3))</f>
        <v>-1000</v>
      </c>
      <c r="T3" s="193">
        <f>MIN(_xlfn.FLOOR.MATH(((MaxPMTConv-2)-'Loan Options Sheet'!$CH$54-'Loan Options Sheet'!$CH$55-'Loan Options Sheet'!$CH$57)/(('Loan Options Sheet'!$BM$56/12)+(W3*(B3/12))/(W3-1)),1000),C.LOANLIMIT)</f>
        <v>-1000</v>
      </c>
      <c r="U3" s="193">
        <f>MIN(_xlfn.FLOOR.MATH((((MaxPMTConv-2)-'Loan Options Sheet'!$CH$54-'Loan Options Sheet'!$CH$55-'Loan Options Sheet'!$CH$57)/((W3*(B3/12))/(W3-1)))/(1+'Loan Options Sheet'!$BM$57),1000),C.LOANLIMIT)</f>
        <v>-1000</v>
      </c>
      <c r="V3" s="193">
        <f>MIN(_xlfn.FLOOR.MATH(((MaxPMTConv-2)-'Loan Options Sheet'!$CH$54-'Loan Options Sheet'!$CH$55-'Loan Options Sheet'!$CH$57)/((W3*(B3/12))/(W3-1)),1000),C.LOANLIMIT)</f>
        <v>-1000</v>
      </c>
      <c r="W3" s="193">
        <f>(1+B3/12)^360</f>
        <v>4.9973082606577348</v>
      </c>
    </row>
    <row r="4" spans="2:23" x14ac:dyDescent="0.3">
      <c r="B4" s="191">
        <v>5.5E-2</v>
      </c>
      <c r="C4" s="191">
        <v>4.0910000000000002E-2</v>
      </c>
      <c r="D4" s="5">
        <f>IF(ISBLANK(B4)," ",IF(Calculator!$G$31=TRUE,_xlfn.FLOOR.MATH(S4/(1-'Loan Options Sheet'!$DD$58),1000),IF(Calculator!$H$31=TRUE,_xlfn.FLOOR.MATH(S4+'Loan Options Sheet'!$DK$58,1000),S4)))</f>
        <v>-1000</v>
      </c>
      <c r="G4" s="191">
        <v>0.05</v>
      </c>
      <c r="H4" s="191">
        <v>4.0910000000000002E-2</v>
      </c>
      <c r="I4" s="5">
        <f>IF(ISBLANK(G4)," ",IF(Calculator!$G$31=TRUE,_xlfn.FLOOR.MATH(M4/(1-'Loan Options Sheet'!$DD$58),1000),IF(Calculator!$H$31=TRUE,_xlfn.FLOOR.MATH(M4+'Loan Options Sheet'!$DK$58,1000),M4)))</f>
        <v>-1000</v>
      </c>
      <c r="J4" s="14"/>
      <c r="M4" s="193">
        <f t="shared" ref="M4:M55" si="1">_xlfn.FLOOR.MATH(N4/1.0175,1000)</f>
        <v>-1000</v>
      </c>
      <c r="N4" s="193" cm="1">
        <f t="array" ref="N4">MIN(_xlfn.FLOOR.MATH(((MaxPMTFHA-2)-'Loan Options Sheet'!$CH$54-'Loan Options Sheet'!$CH$55-'Loan Options Sheet'!$CH$57)/(($Q$1/12)+O4*G4/(12*(O4-1))),1000),_xlfn.FLOOR.MATH(LOANLIMIT.FHA*1.0175,1000))</f>
        <v>-1000</v>
      </c>
      <c r="O4" s="193">
        <f t="shared" si="0"/>
        <v>4.4677443140061559</v>
      </c>
      <c r="S4" s="193">
        <f>IF(Calculator!D27=TRUE,T4,IF(Calculator!D28=TRUE,U4,V4))</f>
        <v>-1000</v>
      </c>
      <c r="T4" s="193">
        <f>MIN(_xlfn.FLOOR.MATH(((MaxPMTConv-2)-'Loan Options Sheet'!$CH$54-'Loan Options Sheet'!$CH$55-'Loan Options Sheet'!$CH$57)/(('Loan Options Sheet'!$BM$56/12)+(W4*(B4/12))/(W4-1)),1000),C.LOANLIMIT)</f>
        <v>-1000</v>
      </c>
      <c r="U4" s="193">
        <f>MIN(_xlfn.FLOOR.MATH((((MaxPMTConv-2)-'Loan Options Sheet'!$CH$54-'Loan Options Sheet'!$CH$55-'Loan Options Sheet'!$CH$57)/((W4*(B4/12))/(W4-1)))/(1+'Loan Options Sheet'!$BM$57),1000),C.LOANLIMIT)</f>
        <v>-1000</v>
      </c>
      <c r="V4" s="193">
        <f>MIN(_xlfn.FLOOR.MATH(((MaxPMTConv-2)-'Loan Options Sheet'!$CH$54-'Loan Options Sheet'!$CH$55-'Loan Options Sheet'!$CH$57)/((W4*(B4/12))/(W4-1)),1000),C.LOANLIMIT)</f>
        <v>-1000</v>
      </c>
      <c r="W4" s="193">
        <f t="shared" ref="W4:W55" si="2">(1+B4/12)^360</f>
        <v>5.1873878406744138</v>
      </c>
    </row>
    <row r="5" spans="2:23" x14ac:dyDescent="0.3">
      <c r="B5" s="191">
        <v>5.6250000000000001E-2</v>
      </c>
      <c r="C5" s="191">
        <v>3.5720000000000002E-2</v>
      </c>
      <c r="D5" s="5">
        <f>IF(ISBLANK(B5)," ",IF(Calculator!$G$31=TRUE,_xlfn.FLOOR.MATH(S5/(1-'Loan Options Sheet'!$DD$58),1000),IF(Calculator!$H$31=TRUE,_xlfn.FLOOR.MATH(S5+'Loan Options Sheet'!$DK$58,1000),S5)))</f>
        <v>-1000</v>
      </c>
      <c r="G5" s="191">
        <v>5.1249999999999997E-2</v>
      </c>
      <c r="H5" s="191">
        <v>3.5720000000000002E-2</v>
      </c>
      <c r="I5" s="5">
        <f>IF(ISBLANK(G5)," ",IF(Calculator!$G$31=TRUE,_xlfn.FLOOR.MATH(M5/(1-'Loan Options Sheet'!$DD$58),1000),IF(Calculator!$H$31=TRUE,_xlfn.FLOOR.MATH(M5+'Loan Options Sheet'!$DK$58,1000),M5)))</f>
        <v>-1000</v>
      </c>
      <c r="J5" s="14"/>
      <c r="M5" s="193">
        <f t="shared" si="1"/>
        <v>-1000</v>
      </c>
      <c r="N5" s="193" cm="1">
        <f t="array" ref="N5">MIN(_xlfn.FLOOR.MATH(((MaxPMTFHA-2)-'Loan Options Sheet'!$CH$54-'Loan Options Sheet'!$CH$55-'Loan Options Sheet'!$CH$57)/(($Q$1/12)+O5*G5/(12*(O5-1))),1000),_xlfn.FLOOR.MATH(LOANLIMIT.FHA*1.0175,1000))</f>
        <v>-1000</v>
      </c>
      <c r="O5" s="193">
        <f t="shared" si="0"/>
        <v>4.6377350674272977</v>
      </c>
      <c r="S5" s="193">
        <f>IF(Calculator!D28=TRUE,T5,IF(Calculator!D29=TRUE,U5,V5))</f>
        <v>-1000</v>
      </c>
      <c r="T5" s="193">
        <f>MIN(_xlfn.FLOOR.MATH(((MaxPMTConv-2)-'Loan Options Sheet'!$CH$54-'Loan Options Sheet'!$CH$55-'Loan Options Sheet'!$CH$57)/(('Loan Options Sheet'!$BM$56/12)+(W5*(B5/12))/(W5-1)),1000),C.LOANLIMIT)</f>
        <v>-1000</v>
      </c>
      <c r="U5" s="193">
        <f>MIN(_xlfn.FLOOR.MATH((((MaxPMTConv-2)-'Loan Options Sheet'!$CH$54-'Loan Options Sheet'!$CH$55-'Loan Options Sheet'!$CH$57)/((W5*(B5/12))/(W5-1)))/(1+'Loan Options Sheet'!$BM$57),1000),C.LOANLIMIT)</f>
        <v>-1000</v>
      </c>
      <c r="V5" s="193">
        <f>MIN(_xlfn.FLOOR.MATH(((MaxPMTConv-2)-'Loan Options Sheet'!$CH$54-'Loan Options Sheet'!$CH$55-'Loan Options Sheet'!$CH$57)/((W5*(B5/12))/(W5-1)),1000),C.LOANLIMIT)</f>
        <v>-1000</v>
      </c>
      <c r="W5" s="193">
        <f t="shared" si="2"/>
        <v>5.384676519822249</v>
      </c>
    </row>
    <row r="6" spans="2:23" x14ac:dyDescent="0.3">
      <c r="B6" s="191">
        <v>5.7500000000000002E-2</v>
      </c>
      <c r="C6" s="191">
        <v>3.603E-2</v>
      </c>
      <c r="D6" s="5">
        <f>IF(ISBLANK(B6)," ",IF(Calculator!$G$31=TRUE,_xlfn.FLOOR.MATH(S6/(1-'Loan Options Sheet'!$DD$58),1000),IF(Calculator!$H$31=TRUE,_xlfn.FLOOR.MATH(S6+'Loan Options Sheet'!$DK$58,1000),S6)))</f>
        <v>-1000</v>
      </c>
      <c r="G6" s="191">
        <v>5.2499999999999998E-2</v>
      </c>
      <c r="H6" s="191">
        <v>3.603E-2</v>
      </c>
      <c r="I6" s="5">
        <f>IF(ISBLANK(G6)," ",IF(Calculator!$G$31=TRUE,_xlfn.FLOOR.MATH(M6/(1-'Loan Options Sheet'!$DD$58),1000),IF(Calculator!$H$31=TRUE,_xlfn.FLOOR.MATH(M6+'Loan Options Sheet'!$DK$58,1000),M6)))</f>
        <v>-1000</v>
      </c>
      <c r="J6" s="14"/>
      <c r="M6" s="193">
        <f t="shared" si="1"/>
        <v>-1000</v>
      </c>
      <c r="N6" s="193" cm="1">
        <f t="array" ref="N6">MIN(_xlfn.FLOOR.MATH(((MaxPMTFHA-2)-'Loan Options Sheet'!$CH$54-'Loan Options Sheet'!$CH$55-'Loan Options Sheet'!$CH$57)/(($Q$1/12)+O6*G6/(12*(O6-1))),1000),_xlfn.FLOOR.MATH(LOANLIMIT.FHA*1.0175,1000))</f>
        <v>-1000</v>
      </c>
      <c r="O6" s="193">
        <f t="shared" si="0"/>
        <v>4.8141750600063018</v>
      </c>
      <c r="S6" s="193">
        <f>IF(Calculator!D29=TRUE,T6,IF(Calculator!D30=TRUE,U6,V6))</f>
        <v>-1000</v>
      </c>
      <c r="T6" s="193">
        <f>MIN(_xlfn.FLOOR.MATH(((MaxPMTConv-2)-'Loan Options Sheet'!$CH$54-'Loan Options Sheet'!$CH$55-'Loan Options Sheet'!$CH$57)/(('Loan Options Sheet'!$BM$56/12)+(W6*(B6/12))/(W6-1)),1000),C.LOANLIMIT)</f>
        <v>-1000</v>
      </c>
      <c r="U6" s="193">
        <f>MIN(_xlfn.FLOOR.MATH((((MaxPMTConv-2)-'Loan Options Sheet'!$CH$54-'Loan Options Sheet'!$CH$55-'Loan Options Sheet'!$CH$57)/((W6*(B6/12))/(W6-1)))/(1+'Loan Options Sheet'!$BM$57),1000),C.LOANLIMIT)</f>
        <v>-1000</v>
      </c>
      <c r="V6" s="193">
        <f>MIN(_xlfn.FLOOR.MATH(((MaxPMTConv-2)-'Loan Options Sheet'!$CH$54-'Loan Options Sheet'!$CH$55-'Loan Options Sheet'!$CH$57)/((W6*(B6/12))/(W6-1)),1000),C.LOANLIMIT)</f>
        <v>-1000</v>
      </c>
      <c r="W6" s="193">
        <f t="shared" si="2"/>
        <v>5.5894469254231041</v>
      </c>
    </row>
    <row r="7" spans="2:23" x14ac:dyDescent="0.3">
      <c r="B7" s="191">
        <v>5.8749999999999997E-2</v>
      </c>
      <c r="C7" s="191">
        <v>3.243E-2</v>
      </c>
      <c r="D7" s="5">
        <f>IF(ISBLANK(B7)," ",IF(Calculator!$G$31=TRUE,_xlfn.FLOOR.MATH(S7/(1-'Loan Options Sheet'!$DD$58),1000),IF(Calculator!$H$31=TRUE,_xlfn.FLOOR.MATH(S7+'Loan Options Sheet'!$DK$58,1000),S7)))</f>
        <v>-1000</v>
      </c>
      <c r="G7" s="191">
        <v>5.3749999999999999E-2</v>
      </c>
      <c r="H7" s="191">
        <v>3.243E-2</v>
      </c>
      <c r="I7" s="5">
        <f>IF(ISBLANK(G7)," ",IF(Calculator!$G$31=TRUE,_xlfn.FLOOR.MATH(M7/(1-'Loan Options Sheet'!$DD$58),1000),IF(Calculator!$H$31=TRUE,_xlfn.FLOOR.MATH(M7+'Loan Options Sheet'!$DK$58,1000),M7)))</f>
        <v>-1000</v>
      </c>
      <c r="J7" s="14"/>
      <c r="M7" s="193">
        <f t="shared" si="1"/>
        <v>-1000</v>
      </c>
      <c r="N7" s="193" cm="1">
        <f t="array" ref="N7">MIN(_xlfn.FLOOR.MATH(((MaxPMTFHA-2)-'Loan Options Sheet'!$CH$54-'Loan Options Sheet'!$CH$55-'Loan Options Sheet'!$CH$57)/(($Q$1/12)+O7*G7/(12*(O7-1))),1000),_xlfn.FLOOR.MATH(LOANLIMIT.FHA*1.0175,1000))</f>
        <v>-1000</v>
      </c>
      <c r="O7" s="193">
        <f t="shared" si="0"/>
        <v>4.9973082606577348</v>
      </c>
      <c r="S7" s="193">
        <f>IF(Calculator!D30=TRUE,T7,IF(Calculator!D31=TRUE,U7,V7))</f>
        <v>-1000</v>
      </c>
      <c r="T7" s="193">
        <f>MIN(_xlfn.FLOOR.MATH(((MaxPMTConv-2)-'Loan Options Sheet'!$CH$54-'Loan Options Sheet'!$CH$55-'Loan Options Sheet'!$CH$57)/(('Loan Options Sheet'!$BM$56/12)+(W7*(B7/12))/(W7-1)),1000),C.LOANLIMIT)</f>
        <v>-1000</v>
      </c>
      <c r="U7" s="193">
        <f>MIN(_xlfn.FLOOR.MATH((((MaxPMTConv-2)-'Loan Options Sheet'!$CH$54-'Loan Options Sheet'!$CH$55-'Loan Options Sheet'!$CH$57)/((W7*(B7/12))/(W7-1)))/(1+'Loan Options Sheet'!$BM$57),1000),C.LOANLIMIT)</f>
        <v>-1000</v>
      </c>
      <c r="V7" s="193">
        <f>MIN(_xlfn.FLOOR.MATH(((MaxPMTConv-2)-'Loan Options Sheet'!$CH$54-'Loan Options Sheet'!$CH$55-'Loan Options Sheet'!$CH$57)/((W7*(B7/12))/(W7-1)),1000),C.LOANLIMIT)</f>
        <v>-1000</v>
      </c>
      <c r="W7" s="193">
        <f t="shared" si="2"/>
        <v>5.8019819648948108</v>
      </c>
    </row>
    <row r="8" spans="2:23" x14ac:dyDescent="0.3">
      <c r="B8" s="191">
        <v>0.06</v>
      </c>
      <c r="C8" s="191">
        <v>2.8309999999999998E-2</v>
      </c>
      <c r="D8" s="5">
        <f>IF(ISBLANK(B8)," ",IF(Calculator!$G$31=TRUE,_xlfn.FLOOR.MATH(S8/(1-'Loan Options Sheet'!$DD$58),1000),IF(Calculator!$H$31=TRUE,_xlfn.FLOOR.MATH(S8+'Loan Options Sheet'!$DK$58,1000),S8)))</f>
        <v>-1000</v>
      </c>
      <c r="G8" s="191">
        <v>5.5E-2</v>
      </c>
      <c r="H8" s="191">
        <v>2.8309999999999998E-2</v>
      </c>
      <c r="I8" s="5">
        <f>IF(ISBLANK(G8)," ",IF(Calculator!$G$31=TRUE,_xlfn.FLOOR.MATH(M8/(1-'Loan Options Sheet'!$DD$58),1000),IF(Calculator!$H$31=TRUE,_xlfn.FLOOR.MATH(M8+'Loan Options Sheet'!$DK$58,1000),M8)))</f>
        <v>-1000</v>
      </c>
      <c r="J8" s="14"/>
      <c r="M8" s="193">
        <f t="shared" si="1"/>
        <v>-1000</v>
      </c>
      <c r="N8" s="193" cm="1">
        <f t="array" ref="N8">MIN(_xlfn.FLOOR.MATH(((MaxPMTFHA-2)-'Loan Options Sheet'!$CH$54-'Loan Options Sheet'!$CH$55-'Loan Options Sheet'!$CH$57)/(($Q$1/12)+O8*G8/(12*(O8-1))),1000),_xlfn.FLOOR.MATH(LOANLIMIT.FHA*1.0175,1000))</f>
        <v>-1000</v>
      </c>
      <c r="O8" s="193">
        <f t="shared" si="0"/>
        <v>5.1873878406744138</v>
      </c>
      <c r="S8" s="193">
        <f>IF(Calculator!D31=TRUE,T8,IF(Calculator!D32=TRUE,U8,V8))</f>
        <v>-1000</v>
      </c>
      <c r="T8" s="193">
        <f>MIN(_xlfn.FLOOR.MATH(((MaxPMTConv-2)-'Loan Options Sheet'!$CH$54-'Loan Options Sheet'!$CH$55-'Loan Options Sheet'!$CH$57)/(('Loan Options Sheet'!$BM$56/12)+(W8*(B8/12))/(W8-1)),1000),C.LOANLIMIT)</f>
        <v>-1000</v>
      </c>
      <c r="U8" s="193">
        <f>MIN(_xlfn.FLOOR.MATH((((MaxPMTConv-2)-'Loan Options Sheet'!$CH$54-'Loan Options Sheet'!$CH$55-'Loan Options Sheet'!$CH$57)/((W8*(B8/12))/(W8-1)))/(1+'Loan Options Sheet'!$BM$57),1000),C.LOANLIMIT)</f>
        <v>-1000</v>
      </c>
      <c r="V8" s="193">
        <f>MIN(_xlfn.FLOOR.MATH(((MaxPMTConv-2)-'Loan Options Sheet'!$CH$54-'Loan Options Sheet'!$CH$55-'Loan Options Sheet'!$CH$57)/((W8*(B8/12))/(W8-1)),1000),C.LOANLIMIT)</f>
        <v>-1000</v>
      </c>
      <c r="W8" s="193">
        <f t="shared" si="2"/>
        <v>6.0225752122628879</v>
      </c>
    </row>
    <row r="9" spans="2:23" x14ac:dyDescent="0.3">
      <c r="B9" s="191">
        <v>6.1249999999999999E-2</v>
      </c>
      <c r="C9" s="191">
        <v>2.3650000000000001E-2</v>
      </c>
      <c r="D9" s="5">
        <f>IF(ISBLANK(B9)," ",IF(Calculator!$G$31=TRUE,_xlfn.FLOOR.MATH(S9/(1-'Loan Options Sheet'!$DD$58),1000),IF(Calculator!$H$31=TRUE,_xlfn.FLOOR.MATH(S9+'Loan Options Sheet'!$DK$58,1000),S9)))</f>
        <v>-1000</v>
      </c>
      <c r="G9" s="191">
        <v>5.6250000000000001E-2</v>
      </c>
      <c r="H9" s="191">
        <v>2.3650000000000001E-2</v>
      </c>
      <c r="I9" s="5">
        <f>IF(ISBLANK(G9)," ",IF(Calculator!$G$31=TRUE,_xlfn.FLOOR.MATH(M9/(1-'Loan Options Sheet'!$DD$58),1000),IF(Calculator!$H$31=TRUE,_xlfn.FLOOR.MATH(M9+'Loan Options Sheet'!$DK$58,1000),M9)))</f>
        <v>-1000</v>
      </c>
      <c r="J9" s="14"/>
      <c r="M9" s="193">
        <f t="shared" si="1"/>
        <v>-1000</v>
      </c>
      <c r="N9" s="193" cm="1">
        <f t="array" ref="N9">MIN(_xlfn.FLOOR.MATH(((MaxPMTFHA-2)-'Loan Options Sheet'!$CH$54-'Loan Options Sheet'!$CH$55-'Loan Options Sheet'!$CH$57)/(($Q$1/12)+O9*G9/(12*(O9-1))),1000),_xlfn.FLOOR.MATH(LOANLIMIT.FHA*1.0175,1000))</f>
        <v>-1000</v>
      </c>
      <c r="O9" s="193">
        <f t="shared" si="0"/>
        <v>5.384676519822249</v>
      </c>
      <c r="S9" s="193">
        <f>IF(Calculator!D32=TRUE,T9,IF(Calculator!D33=TRUE,U9,V9))</f>
        <v>-1000</v>
      </c>
      <c r="T9" s="193">
        <f>MIN(_xlfn.FLOOR.MATH(((MaxPMTConv-2)-'Loan Options Sheet'!$CH$54-'Loan Options Sheet'!$CH$55-'Loan Options Sheet'!$CH$57)/(('Loan Options Sheet'!$BM$56/12)+(W9*(B9/12))/(W9-1)),1000),C.LOANLIMIT)</f>
        <v>-1000</v>
      </c>
      <c r="U9" s="193">
        <f>MIN(_xlfn.FLOOR.MATH((((MaxPMTConv-2)-'Loan Options Sheet'!$CH$54-'Loan Options Sheet'!$CH$55-'Loan Options Sheet'!$CH$57)/((W9*(B9/12))/(W9-1)))/(1+'Loan Options Sheet'!$BM$57),1000),C.LOANLIMIT)</f>
        <v>-1000</v>
      </c>
      <c r="V9" s="193">
        <f>MIN(_xlfn.FLOOR.MATH(((MaxPMTConv-2)-'Loan Options Sheet'!$CH$54-'Loan Options Sheet'!$CH$55-'Loan Options Sheet'!$CH$57)/((W9*(B9/12))/(W9-1)),1000),C.LOANLIMIT)</f>
        <v>-1000</v>
      </c>
      <c r="W9" s="193">
        <f t="shared" si="2"/>
        <v>6.2515313091616163</v>
      </c>
    </row>
    <row r="10" spans="2:23" x14ac:dyDescent="0.3">
      <c r="B10" s="191">
        <v>6.25E-2</v>
      </c>
      <c r="C10" s="191">
        <v>2.811E-2</v>
      </c>
      <c r="D10" s="5">
        <f>IF(ISBLANK(B10)," ",IF(Calculator!$G$31=TRUE,_xlfn.FLOOR.MATH(S10/(1-'Loan Options Sheet'!$DD$58),1000),IF(Calculator!$H$31=TRUE,_xlfn.FLOOR.MATH(S10+'Loan Options Sheet'!$DK$58,1000),S10)))</f>
        <v>-1000</v>
      </c>
      <c r="G10" s="191">
        <v>5.7500000000000002E-2</v>
      </c>
      <c r="H10" s="191">
        <v>2.811E-2</v>
      </c>
      <c r="I10" s="5">
        <f>IF(ISBLANK(G10)," ",IF(Calculator!$G$31=TRUE,_xlfn.FLOOR.MATH(M10/(1-'Loan Options Sheet'!$DD$58),1000),IF(Calculator!$H$31=TRUE,_xlfn.FLOOR.MATH(M10+'Loan Options Sheet'!$DK$58,1000),M10)))</f>
        <v>-1000</v>
      </c>
      <c r="J10" s="14"/>
      <c r="M10" s="193">
        <f t="shared" si="1"/>
        <v>-1000</v>
      </c>
      <c r="N10" s="193" cm="1">
        <f t="array" ref="N10">MIN(_xlfn.FLOOR.MATH(((MaxPMTFHA-2)-'Loan Options Sheet'!$CH$54-'Loan Options Sheet'!$CH$55-'Loan Options Sheet'!$CH$57)/(($Q$1/12)+O10*G10/(12*(O10-1))),1000),_xlfn.FLOOR.MATH(LOANLIMIT.FHA*1.0175,1000))</f>
        <v>-1000</v>
      </c>
      <c r="O10" s="193">
        <f t="shared" si="0"/>
        <v>5.5894469254231041</v>
      </c>
      <c r="S10" s="193">
        <f>IF(Calculator!D33=TRUE,T10,IF(Calculator!D34=TRUE,U10,V10))</f>
        <v>-1000</v>
      </c>
      <c r="T10" s="193">
        <f>MIN(_xlfn.FLOOR.MATH(((MaxPMTConv-2)-'Loan Options Sheet'!$CH$54-'Loan Options Sheet'!$CH$55-'Loan Options Sheet'!$CH$57)/(('Loan Options Sheet'!$BM$56/12)+(W10*(B10/12))/(W10-1)),1000),C.LOANLIMIT)</f>
        <v>-1000</v>
      </c>
      <c r="U10" s="193">
        <f>MIN(_xlfn.FLOOR.MATH((((MaxPMTConv-2)-'Loan Options Sheet'!$CH$54-'Loan Options Sheet'!$CH$55-'Loan Options Sheet'!$CH$57)/((W10*(B10/12))/(W10-1)))/(1+'Loan Options Sheet'!$BM$57),1000),C.LOANLIMIT)</f>
        <v>-1000</v>
      </c>
      <c r="V10" s="193">
        <f>MIN(_xlfn.FLOOR.MATH(((MaxPMTConv-2)-'Loan Options Sheet'!$CH$54-'Loan Options Sheet'!$CH$55-'Loan Options Sheet'!$CH$57)/((W10*(B10/12))/(W10-1)),1000),C.LOANLIMIT)</f>
        <v>-1000</v>
      </c>
      <c r="W10" s="193">
        <f t="shared" si="2"/>
        <v>6.4891663808612527</v>
      </c>
    </row>
    <row r="11" spans="2:23" x14ac:dyDescent="0.3">
      <c r="B11" s="191">
        <v>6.3750000000000001E-2</v>
      </c>
      <c r="C11" s="191">
        <v>2.5089999999999998E-2</v>
      </c>
      <c r="D11" s="5">
        <f>IF(ISBLANK(B11)," ",IF(Calculator!$G$31=TRUE,_xlfn.FLOOR.MATH(S11/(1-'Loan Options Sheet'!$DD$58),1000),IF(Calculator!$H$31=TRUE,_xlfn.FLOOR.MATH(S11+'Loan Options Sheet'!$DK$58,1000),S11)))</f>
        <v>-1000</v>
      </c>
      <c r="G11" s="191">
        <v>5.8749999999999997E-2</v>
      </c>
      <c r="H11" s="191">
        <v>2.5089999999999998E-2</v>
      </c>
      <c r="I11" s="5">
        <f>IF(ISBLANK(G11)," ",IF(Calculator!$G$31=TRUE,_xlfn.FLOOR.MATH(M11/(1-'Loan Options Sheet'!$DD$58),1000),IF(Calculator!$H$31=TRUE,_xlfn.FLOOR.MATH(M11+'Loan Options Sheet'!$DK$58,1000),M11)))</f>
        <v>-1000</v>
      </c>
      <c r="J11" s="14"/>
      <c r="M11" s="193">
        <f t="shared" si="1"/>
        <v>-1000</v>
      </c>
      <c r="N11" s="193" cm="1">
        <f t="array" ref="N11">MIN(_xlfn.FLOOR.MATH(((MaxPMTFHA-2)-'Loan Options Sheet'!$CH$54-'Loan Options Sheet'!$CH$55-'Loan Options Sheet'!$CH$57)/(($Q$1/12)+O11*G11/(12*(O11-1))),1000),_xlfn.FLOOR.MATH(LOANLIMIT.FHA*1.0175,1000))</f>
        <v>-1000</v>
      </c>
      <c r="O11" s="193">
        <f t="shared" si="0"/>
        <v>5.8019819648948108</v>
      </c>
      <c r="S11" s="193">
        <f>IF(Calculator!D34=TRUE,T11,IF(Calculator!D35=TRUE,U11,V11))</f>
        <v>-1000</v>
      </c>
      <c r="T11" s="193">
        <f>MIN(_xlfn.FLOOR.MATH(((MaxPMTConv-2)-'Loan Options Sheet'!$CH$54-'Loan Options Sheet'!$CH$55-'Loan Options Sheet'!$CH$57)/(('Loan Options Sheet'!$BM$56/12)+(W11*(B11/12))/(W11-1)),1000),C.LOANLIMIT)</f>
        <v>-1000</v>
      </c>
      <c r="U11" s="193">
        <f>MIN(_xlfn.FLOOR.MATH((((MaxPMTConv-2)-'Loan Options Sheet'!$CH$54-'Loan Options Sheet'!$CH$55-'Loan Options Sheet'!$CH$57)/((W11*(B11/12))/(W11-1)))/(1+'Loan Options Sheet'!$BM$57),1000),C.LOANLIMIT)</f>
        <v>-1000</v>
      </c>
      <c r="V11" s="193">
        <f>MIN(_xlfn.FLOOR.MATH(((MaxPMTConv-2)-'Loan Options Sheet'!$CH$54-'Loan Options Sheet'!$CH$55-'Loan Options Sheet'!$CH$57)/((W11*(B11/12))/(W11-1)),1000),C.LOANLIMIT)</f>
        <v>-1000</v>
      </c>
      <c r="W11" s="193">
        <f t="shared" si="2"/>
        <v>6.7358084678976144</v>
      </c>
    </row>
    <row r="12" spans="2:23" x14ac:dyDescent="0.3">
      <c r="B12" s="191">
        <v>6.5000000000000002E-2</v>
      </c>
      <c r="C12" s="191">
        <v>2.1520000000000001E-2</v>
      </c>
      <c r="D12" s="5">
        <f>IF(ISBLANK(B12)," ",IF(Calculator!$G$31=TRUE,_xlfn.FLOOR.MATH(S12/(1-'Loan Options Sheet'!$DD$58),1000),IF(Calculator!$H$31=TRUE,_xlfn.FLOOR.MATH(S12+'Loan Options Sheet'!$DK$58,1000),S12)))</f>
        <v>-1000</v>
      </c>
      <c r="G12" s="191">
        <v>0.06</v>
      </c>
      <c r="H12" s="191">
        <v>2.1520000000000001E-2</v>
      </c>
      <c r="I12" s="5">
        <f>IF(ISBLANK(G12)," ",IF(Calculator!$G$31=TRUE,_xlfn.FLOOR.MATH(M12/(1-'Loan Options Sheet'!$DD$58),1000),IF(Calculator!$H$31=TRUE,_xlfn.FLOOR.MATH(M12+'Loan Options Sheet'!$DK$58,1000),M12)))</f>
        <v>-1000</v>
      </c>
      <c r="J12" s="14"/>
      <c r="M12" s="193">
        <f t="shared" si="1"/>
        <v>-1000</v>
      </c>
      <c r="N12" s="193" cm="1">
        <f t="array" ref="N12">MIN(_xlfn.FLOOR.MATH(((MaxPMTFHA-2)-'Loan Options Sheet'!$CH$54-'Loan Options Sheet'!$CH$55-'Loan Options Sheet'!$CH$57)/(($Q$1/12)+O12*G12/(12*(O12-1))),1000),_xlfn.FLOOR.MATH(LOANLIMIT.FHA*1.0175,1000))</f>
        <v>-1000</v>
      </c>
      <c r="O12" s="193">
        <f t="shared" si="0"/>
        <v>6.0225752122628879</v>
      </c>
      <c r="S12" s="193">
        <f>IF(Calculator!D35=TRUE,T12,IF(Calculator!D36=TRUE,U12,V12))</f>
        <v>-1000</v>
      </c>
      <c r="T12" s="193">
        <f>MIN(_xlfn.FLOOR.MATH(((MaxPMTConv-2)-'Loan Options Sheet'!$CH$54-'Loan Options Sheet'!$CH$55-'Loan Options Sheet'!$CH$57)/(('Loan Options Sheet'!$BM$56/12)+(W12*(B12/12))/(W12-1)),1000),C.LOANLIMIT)</f>
        <v>-1000</v>
      </c>
      <c r="U12" s="193">
        <f>MIN(_xlfn.FLOOR.MATH((((MaxPMTConv-2)-'Loan Options Sheet'!$CH$54-'Loan Options Sheet'!$CH$55-'Loan Options Sheet'!$CH$57)/((W12*(B12/12))/(W12-1)))/(1+'Loan Options Sheet'!$BM$57),1000),C.LOANLIMIT)</f>
        <v>-1000</v>
      </c>
      <c r="V12" s="193">
        <f>MIN(_xlfn.FLOOR.MATH(((MaxPMTConv-2)-'Loan Options Sheet'!$CH$54-'Loan Options Sheet'!$CH$55-'Loan Options Sheet'!$CH$57)/((W12*(B12/12))/(W12-1)),1000),C.LOANLIMIT)</f>
        <v>-1000</v>
      </c>
      <c r="W12" s="193">
        <f t="shared" si="2"/>
        <v>6.9917979738672056</v>
      </c>
    </row>
    <row r="13" spans="2:23" x14ac:dyDescent="0.3">
      <c r="B13" s="191">
        <v>6.6250000000000003E-2</v>
      </c>
      <c r="C13" s="191">
        <v>1.7100000000000001E-2</v>
      </c>
      <c r="D13" s="5">
        <f>IF(ISBLANK(B13)," ",IF(Calculator!$G$31=TRUE,_xlfn.FLOOR.MATH(S13/(1-'Loan Options Sheet'!$DD$58),1000),IF(Calculator!$H$31=TRUE,_xlfn.FLOOR.MATH(S13+'Loan Options Sheet'!$DK$58,1000),S13)))</f>
        <v>-1000</v>
      </c>
      <c r="G13" s="191">
        <v>6.1249999999999999E-2</v>
      </c>
      <c r="H13" s="191">
        <v>1.7100000000000001E-2</v>
      </c>
      <c r="I13" s="5">
        <f>IF(ISBLANK(G13)," ",IF(Calculator!$G$31=TRUE,_xlfn.FLOOR.MATH(M13/(1-'Loan Options Sheet'!$DD$58),1000),IF(Calculator!$H$31=TRUE,_xlfn.FLOOR.MATH(M13+'Loan Options Sheet'!$DK$58,1000),M13)))</f>
        <v>-1000</v>
      </c>
      <c r="J13" s="14"/>
      <c r="M13" s="193">
        <f t="shared" si="1"/>
        <v>-1000</v>
      </c>
      <c r="N13" s="193" cm="1">
        <f t="array" ref="N13">MIN(_xlfn.FLOOR.MATH(((MaxPMTFHA-2)-'Loan Options Sheet'!$CH$54-'Loan Options Sheet'!$CH$55-'Loan Options Sheet'!$CH$57)/(($Q$1/12)+O13*G13/(12*(O13-1))),1000),_xlfn.FLOOR.MATH(LOANLIMIT.FHA*1.0175,1000))</f>
        <v>-1000</v>
      </c>
      <c r="O13" s="193">
        <f t="shared" si="0"/>
        <v>6.2515313091616163</v>
      </c>
      <c r="S13" s="193">
        <f>IF(Calculator!D36=TRUE,T13,IF(Calculator!D37=TRUE,U13,V13))</f>
        <v>-1000</v>
      </c>
      <c r="T13" s="193">
        <f>MIN(_xlfn.FLOOR.MATH(((MaxPMTConv-2)-'Loan Options Sheet'!$CH$54-'Loan Options Sheet'!$CH$55-'Loan Options Sheet'!$CH$57)/(('Loan Options Sheet'!$BM$56/12)+(W13*(B13/12))/(W13-1)),1000),C.LOANLIMIT)</f>
        <v>-1000</v>
      </c>
      <c r="U13" s="193">
        <f>MIN(_xlfn.FLOOR.MATH((((MaxPMTConv-2)-'Loan Options Sheet'!$CH$54-'Loan Options Sheet'!$CH$55-'Loan Options Sheet'!$CH$57)/((W13*(B13/12))/(W13-1)))/(1+'Loan Options Sheet'!$BM$57),1000),C.LOANLIMIT)</f>
        <v>-1000</v>
      </c>
      <c r="V13" s="193">
        <f>MIN(_xlfn.FLOOR.MATH(((MaxPMTConv-2)-'Loan Options Sheet'!$CH$54-'Loan Options Sheet'!$CH$55-'Loan Options Sheet'!$CH$57)/((W13*(B13/12))/(W13-1)),1000),C.LOANLIMIT)</f>
        <v>-1000</v>
      </c>
      <c r="W13" s="193">
        <f t="shared" si="2"/>
        <v>7.2574881300120051</v>
      </c>
    </row>
    <row r="14" spans="2:23" x14ac:dyDescent="0.3">
      <c r="B14" s="191">
        <v>6.7500000000000004E-2</v>
      </c>
      <c r="C14" s="191">
        <v>2.0310000000000002E-2</v>
      </c>
      <c r="D14" s="5">
        <f>IF(ISBLANK(B14)," ",IF(Calculator!$G$31=TRUE,_xlfn.FLOOR.MATH(S14/(1-'Loan Options Sheet'!$DD$58),1000),IF(Calculator!$H$31=TRUE,_xlfn.FLOOR.MATH(S14+'Loan Options Sheet'!$DK$58,1000),S14)))</f>
        <v>-1000</v>
      </c>
      <c r="G14" s="191">
        <v>6.25E-2</v>
      </c>
      <c r="H14" s="191">
        <v>2.0310000000000002E-2</v>
      </c>
      <c r="I14" s="5">
        <f>IF(ISBLANK(G14)," ",IF(Calculator!$G$31=TRUE,_xlfn.FLOOR.MATH(M14/(1-'Loan Options Sheet'!$DD$58),1000),IF(Calculator!$H$31=TRUE,_xlfn.FLOOR.MATH(M14+'Loan Options Sheet'!$DK$58,1000),M14)))</f>
        <v>-1000</v>
      </c>
      <c r="J14" s="14"/>
      <c r="M14" s="193">
        <f t="shared" si="1"/>
        <v>-1000</v>
      </c>
      <c r="N14" s="193" cm="1">
        <f t="array" ref="N14">MIN(_xlfn.FLOOR.MATH(((MaxPMTFHA-2)-'Loan Options Sheet'!$CH$54-'Loan Options Sheet'!$CH$55-'Loan Options Sheet'!$CH$57)/(($Q$1/12)+O14*G14/(12*(O14-1))),1000),_xlfn.FLOOR.MATH(LOANLIMIT.FHA*1.0175,1000))</f>
        <v>-1000</v>
      </c>
      <c r="O14" s="193">
        <f t="shared" si="0"/>
        <v>6.4891663808612527</v>
      </c>
      <c r="S14" s="193">
        <f>IF(Calculator!D37=TRUE,T14,IF(Calculator!D38=TRUE,U14,V14))</f>
        <v>-1000</v>
      </c>
      <c r="T14" s="193">
        <f>MIN(_xlfn.FLOOR.MATH(((MaxPMTConv-2)-'Loan Options Sheet'!$CH$54-'Loan Options Sheet'!$CH$55-'Loan Options Sheet'!$CH$57)/(('Loan Options Sheet'!$BM$56/12)+(W14*(B14/12))/(W14-1)),1000),C.LOANLIMIT)</f>
        <v>-1000</v>
      </c>
      <c r="U14" s="193">
        <f>MIN(_xlfn.FLOOR.MATH((((MaxPMTConv-2)-'Loan Options Sheet'!$CH$54-'Loan Options Sheet'!$CH$55-'Loan Options Sheet'!$CH$57)/((W14*(B14/12))/(W14-1)))/(1+'Loan Options Sheet'!$BM$57),1000),C.LOANLIMIT)</f>
        <v>-1000</v>
      </c>
      <c r="V14" s="193">
        <f>MIN(_xlfn.FLOOR.MATH(((MaxPMTConv-2)-'Loan Options Sheet'!$CH$54-'Loan Options Sheet'!$CH$55-'Loan Options Sheet'!$CH$57)/((W14*(B14/12))/(W14-1)),1000),C.LOANLIMIT)</f>
        <v>-1000</v>
      </c>
      <c r="W14" s="193">
        <f t="shared" si="2"/>
        <v>7.5332454772021835</v>
      </c>
    </row>
    <row r="15" spans="2:23" x14ac:dyDescent="0.3">
      <c r="B15" s="191">
        <v>6.8750000000000006E-2</v>
      </c>
      <c r="C15" s="191">
        <v>1.7479999999999999E-2</v>
      </c>
      <c r="D15" s="5">
        <f>IF(ISBLANK(B15)," ",IF(Calculator!$G$31=TRUE,_xlfn.FLOOR.MATH(S15/(1-'Loan Options Sheet'!$DD$58),1000),IF(Calculator!$H$31=TRUE,_xlfn.FLOOR.MATH(S15+'Loan Options Sheet'!$DK$58,1000),S15)))</f>
        <v>-1000</v>
      </c>
      <c r="G15" s="191">
        <v>6.3750000000000001E-2</v>
      </c>
      <c r="H15" s="191">
        <v>1.7479999999999999E-2</v>
      </c>
      <c r="I15" s="5">
        <f>IF(ISBLANK(G15)," ",IF(Calculator!$G$31=TRUE,_xlfn.FLOOR.MATH(M15/(1-'Loan Options Sheet'!$DD$58),1000),IF(Calculator!$H$31=TRUE,_xlfn.FLOOR.MATH(M15+'Loan Options Sheet'!$DK$58,1000),M15)))</f>
        <v>-1000</v>
      </c>
      <c r="J15" s="14"/>
      <c r="M15" s="193">
        <f t="shared" si="1"/>
        <v>-1000</v>
      </c>
      <c r="N15" s="193" cm="1">
        <f t="array" ref="N15">MIN(_xlfn.FLOOR.MATH(((MaxPMTFHA-2)-'Loan Options Sheet'!$CH$54-'Loan Options Sheet'!$CH$55-'Loan Options Sheet'!$CH$57)/(($Q$1/12)+O15*G15/(12*(O15-1))),1000),_xlfn.FLOOR.MATH(LOANLIMIT.FHA*1.0175,1000))</f>
        <v>-1000</v>
      </c>
      <c r="O15" s="193">
        <f t="shared" si="0"/>
        <v>6.7358084678976144</v>
      </c>
      <c r="S15" s="193">
        <f>IF(Calculator!D38=TRUE,T15,IF(Calculator!D39=TRUE,U15,V15))</f>
        <v>-1000</v>
      </c>
      <c r="T15" s="193">
        <f>MIN(_xlfn.FLOOR.MATH(((MaxPMTConv-2)-'Loan Options Sheet'!$CH$54-'Loan Options Sheet'!$CH$55-'Loan Options Sheet'!$CH$57)/(('Loan Options Sheet'!$BM$56/12)+(W15*(B15/12))/(W15-1)),1000),C.LOANLIMIT)</f>
        <v>-1000</v>
      </c>
      <c r="U15" s="193">
        <f>MIN(_xlfn.FLOOR.MATH((((MaxPMTConv-2)-'Loan Options Sheet'!$CH$54-'Loan Options Sheet'!$CH$55-'Loan Options Sheet'!$CH$57)/((W15*(B15/12))/(W15-1)))/(1+'Loan Options Sheet'!$BM$57),1000),C.LOANLIMIT)</f>
        <v>-1000</v>
      </c>
      <c r="V15" s="193">
        <f>MIN(_xlfn.FLOOR.MATH(((MaxPMTConv-2)-'Loan Options Sheet'!$CH$54-'Loan Options Sheet'!$CH$55-'Loan Options Sheet'!$CH$57)/((W15*(B15/12))/(W15-1)),1000),C.LOANLIMIT)</f>
        <v>-1000</v>
      </c>
      <c r="W15" s="193">
        <f t="shared" si="2"/>
        <v>7.8194503659847712</v>
      </c>
    </row>
    <row r="16" spans="2:23" x14ac:dyDescent="0.3">
      <c r="B16" s="191">
        <v>6.9900000000000004E-2</v>
      </c>
      <c r="C16" s="191">
        <v>1.5269999999999999E-2</v>
      </c>
      <c r="D16" s="5">
        <f>IF(ISBLANK(B16)," ",IF(Calculator!$G$31=TRUE,_xlfn.FLOOR.MATH(S16/(1-'Loan Options Sheet'!$DD$58),1000),IF(Calculator!$H$31=TRUE,_xlfn.FLOOR.MATH(S16+'Loan Options Sheet'!$DK$58,1000),S16)))</f>
        <v>-1000</v>
      </c>
      <c r="G16" s="191">
        <v>6.5000000000000002E-2</v>
      </c>
      <c r="H16" s="191">
        <v>1.5269999999999999E-2</v>
      </c>
      <c r="I16" s="5">
        <f>IF(ISBLANK(G16)," ",IF(Calculator!$G$31=TRUE,_xlfn.FLOOR.MATH(M16/(1-'Loan Options Sheet'!$DD$58),1000),IF(Calculator!$H$31=TRUE,_xlfn.FLOOR.MATH(M16+'Loan Options Sheet'!$DK$58,1000),M16)))</f>
        <v>-1000</v>
      </c>
      <c r="J16" s="14"/>
      <c r="M16" s="193">
        <f t="shared" si="1"/>
        <v>-1000</v>
      </c>
      <c r="N16" s="193" cm="1">
        <f t="array" ref="N16">MIN(_xlfn.FLOOR.MATH(((MaxPMTFHA-2)-'Loan Options Sheet'!$CH$54-'Loan Options Sheet'!$CH$55-'Loan Options Sheet'!$CH$57)/(($Q$1/12)+O16*G16/(12*(O16-1))),1000),_xlfn.FLOOR.MATH(LOANLIMIT.FHA*1.0175,1000))</f>
        <v>-1000</v>
      </c>
      <c r="O16" s="193">
        <f t="shared" si="0"/>
        <v>6.9917979738672056</v>
      </c>
      <c r="S16" s="193">
        <f>IF(Calculator!D39=TRUE,T16,IF(Calculator!D40=TRUE,U16,V16))</f>
        <v>-1000</v>
      </c>
      <c r="T16" s="193">
        <f>MIN(_xlfn.FLOOR.MATH(((MaxPMTConv-2)-'Loan Options Sheet'!$CH$54-'Loan Options Sheet'!$CH$55-'Loan Options Sheet'!$CH$57)/(('Loan Options Sheet'!$BM$56/12)+(W16*(B16/12))/(W16-1)),1000),C.LOANLIMIT)</f>
        <v>-1000</v>
      </c>
      <c r="U16" s="193">
        <f>MIN(_xlfn.FLOOR.MATH((((MaxPMTConv-2)-'Loan Options Sheet'!$CH$54-'Loan Options Sheet'!$CH$55-'Loan Options Sheet'!$CH$57)/((W16*(B16/12))/(W16-1)))/(1+'Loan Options Sheet'!$BM$57),1000),C.LOANLIMIT)</f>
        <v>-1000</v>
      </c>
      <c r="V16" s="193">
        <f>MIN(_xlfn.FLOOR.MATH(((MaxPMTConv-2)-'Loan Options Sheet'!$CH$54-'Loan Options Sheet'!$CH$55-'Loan Options Sheet'!$CH$57)/((W16*(B16/12))/(W16-1)),1000),C.LOANLIMIT)</f>
        <v>-1000</v>
      </c>
      <c r="W16" s="193">
        <f t="shared" si="2"/>
        <v>8.0923251638569411</v>
      </c>
    </row>
    <row r="17" spans="2:23" x14ac:dyDescent="0.3">
      <c r="B17" s="191">
        <v>7.0000000000000007E-2</v>
      </c>
      <c r="C17" s="191">
        <v>1.4039999999999999E-2</v>
      </c>
      <c r="D17" s="5">
        <f>IF(ISBLANK(B17)," ",IF(Calculator!$G$31=TRUE,_xlfn.FLOOR.MATH(S17/(1-'Loan Options Sheet'!$DD$58),1000),IF(Calculator!$H$31=TRUE,_xlfn.FLOOR.MATH(S17+'Loan Options Sheet'!$DK$58,1000),S17)))</f>
        <v>-1000</v>
      </c>
      <c r="G17" s="191">
        <v>6.6250000000000003E-2</v>
      </c>
      <c r="H17" s="191">
        <v>1.4039999999999999E-2</v>
      </c>
      <c r="I17" s="5">
        <f>IF(ISBLANK(G17)," ",IF(Calculator!$G$31=TRUE,_xlfn.FLOOR.MATH(M17/(1-'Loan Options Sheet'!$DD$58),1000),IF(Calculator!$H$31=TRUE,_xlfn.FLOOR.MATH(M17+'Loan Options Sheet'!$DK$58,1000),M17)))</f>
        <v>-1000</v>
      </c>
      <c r="J17" s="14"/>
      <c r="M17" s="193">
        <f t="shared" si="1"/>
        <v>-1000</v>
      </c>
      <c r="N17" s="193" cm="1">
        <f t="array" ref="N17">MIN(_xlfn.FLOOR.MATH(((MaxPMTFHA-2)-'Loan Options Sheet'!$CH$54-'Loan Options Sheet'!$CH$55-'Loan Options Sheet'!$CH$57)/(($Q$1/12)+O17*G17/(12*(O17-1))),1000),_xlfn.FLOOR.MATH(LOANLIMIT.FHA*1.0175,1000))</f>
        <v>-1000</v>
      </c>
      <c r="O17" s="193">
        <f t="shared" si="0"/>
        <v>7.2574881300120051</v>
      </c>
      <c r="S17" s="193">
        <f>IF(Calculator!D40=TRUE,T17,IF(Calculator!D41=TRUE,U17,V17))</f>
        <v>-1000</v>
      </c>
      <c r="T17" s="193">
        <f>MIN(_xlfn.FLOOR.MATH(((MaxPMTConv-2)-'Loan Options Sheet'!$CH$54-'Loan Options Sheet'!$CH$55-'Loan Options Sheet'!$CH$57)/(('Loan Options Sheet'!$BM$56/12)+(W17*(B17/12))/(W17-1)),1000),C.LOANLIMIT)</f>
        <v>-1000</v>
      </c>
      <c r="U17" s="193">
        <f>MIN(_xlfn.FLOOR.MATH((((MaxPMTConv-2)-'Loan Options Sheet'!$CH$54-'Loan Options Sheet'!$CH$55-'Loan Options Sheet'!$CH$57)/((W17*(B17/12))/(W17-1)))/(1+'Loan Options Sheet'!$BM$57),1000),C.LOANLIMIT)</f>
        <v>-1000</v>
      </c>
      <c r="V17" s="193">
        <f>MIN(_xlfn.FLOOR.MATH(((MaxPMTConv-2)-'Loan Options Sheet'!$CH$54-'Loan Options Sheet'!$CH$55-'Loan Options Sheet'!$CH$57)/((W17*(B17/12))/(W17-1)),1000),C.LOANLIMIT)</f>
        <v>-1000</v>
      </c>
      <c r="W17" s="193">
        <f t="shared" si="2"/>
        <v>8.1164974753596617</v>
      </c>
    </row>
    <row r="18" spans="2:23" x14ac:dyDescent="0.3">
      <c r="B18" s="191">
        <v>7.1249999999999994E-2</v>
      </c>
      <c r="C18" s="191">
        <v>9.8099999999999993E-3</v>
      </c>
      <c r="D18" s="5">
        <f>IF(ISBLANK(B18)," ",IF(Calculator!$G$31=TRUE,_xlfn.FLOOR.MATH(S18/(1-'Loan Options Sheet'!$DD$58),1000),IF(Calculator!$H$31=TRUE,_xlfn.FLOOR.MATH(S18+'Loan Options Sheet'!$DK$58,1000),S18)))</f>
        <v>-1000</v>
      </c>
      <c r="G18" s="191">
        <v>6.7500000000000004E-2</v>
      </c>
      <c r="H18" s="191">
        <v>9.8099999999999993E-3</v>
      </c>
      <c r="I18" s="5">
        <f>IF(ISBLANK(G18)," ",IF(Calculator!$G$31=TRUE,_xlfn.FLOOR.MATH(M18/(1-'Loan Options Sheet'!$DD$58),1000),IF(Calculator!$H$31=TRUE,_xlfn.FLOOR.MATH(M18+'Loan Options Sheet'!$DK$58,1000),M18)))</f>
        <v>-1000</v>
      </c>
      <c r="J18" s="14"/>
      <c r="M18" s="193">
        <f t="shared" si="1"/>
        <v>-1000</v>
      </c>
      <c r="N18" s="193" cm="1">
        <f t="array" ref="N18">MIN(_xlfn.FLOOR.MATH(((MaxPMTFHA-2)-'Loan Options Sheet'!$CH$54-'Loan Options Sheet'!$CH$55-'Loan Options Sheet'!$CH$57)/(($Q$1/12)+O18*G18/(12*(O18-1))),1000),_xlfn.FLOOR.MATH(LOANLIMIT.FHA*1.0175,1000))</f>
        <v>-1000</v>
      </c>
      <c r="O18" s="193">
        <f t="shared" si="0"/>
        <v>7.5332454772021835</v>
      </c>
      <c r="S18" s="193">
        <f>IF(Calculator!D41=TRUE,T18,IF(Calculator!D42=TRUE,U18,V18))</f>
        <v>-1000</v>
      </c>
      <c r="T18" s="193">
        <f>MIN(_xlfn.FLOOR.MATH(((MaxPMTConv-2)-'Loan Options Sheet'!$CH$54-'Loan Options Sheet'!$CH$55-'Loan Options Sheet'!$CH$57)/(('Loan Options Sheet'!$BM$56/12)+(W18*(B18/12))/(W18-1)),1000),C.LOANLIMIT)</f>
        <v>-1000</v>
      </c>
      <c r="U18" s="193">
        <f>MIN(_xlfn.FLOOR.MATH((((MaxPMTConv-2)-'Loan Options Sheet'!$CH$54-'Loan Options Sheet'!$CH$55-'Loan Options Sheet'!$CH$57)/((W18*(B18/12))/(W18-1)))/(1+'Loan Options Sheet'!$BM$57),1000),C.LOANLIMIT)</f>
        <v>-1000</v>
      </c>
      <c r="V18" s="193">
        <f>MIN(_xlfn.FLOOR.MATH(((MaxPMTConv-2)-'Loan Options Sheet'!$CH$54-'Loan Options Sheet'!$CH$55-'Loan Options Sheet'!$CH$57)/((W18*(B18/12))/(W18-1)),1000),C.LOANLIMIT)</f>
        <v>-1000</v>
      </c>
      <c r="W18" s="193">
        <f t="shared" si="2"/>
        <v>8.4247963509858597</v>
      </c>
    </row>
    <row r="19" spans="2:23" x14ac:dyDescent="0.3">
      <c r="B19" s="191">
        <v>7.2499999999999995E-2</v>
      </c>
      <c r="C19" s="191">
        <v>9.9900000000000006E-3</v>
      </c>
      <c r="D19" s="5">
        <f>IF(ISBLANK(B19)," ",IF(Calculator!$G$31=TRUE,_xlfn.FLOOR.MATH(S19/(1-'Loan Options Sheet'!$DD$58),1000),IF(Calculator!$H$31=TRUE,_xlfn.FLOOR.MATH(S19+'Loan Options Sheet'!$DK$58,1000),S19)))</f>
        <v>-1000</v>
      </c>
      <c r="G19" s="191">
        <v>6.8750000000000006E-2</v>
      </c>
      <c r="H19" s="191">
        <v>9.9900000000000006E-3</v>
      </c>
      <c r="I19" s="5">
        <f>IF(ISBLANK(G19)," ",IF(Calculator!$G$31=TRUE,_xlfn.FLOOR.MATH(M19/(1-'Loan Options Sheet'!$DD$58),1000),IF(Calculator!$H$31=TRUE,_xlfn.FLOOR.MATH(M19+'Loan Options Sheet'!$DK$58,1000),M19)))</f>
        <v>-1000</v>
      </c>
      <c r="J19" s="14"/>
      <c r="M19" s="193">
        <f t="shared" si="1"/>
        <v>-1000</v>
      </c>
      <c r="N19" s="193" cm="1">
        <f t="array" ref="N19">MIN(_xlfn.FLOOR.MATH(((MaxPMTFHA-2)-'Loan Options Sheet'!$CH$54-'Loan Options Sheet'!$CH$55-'Loan Options Sheet'!$CH$57)/(($Q$1/12)+O19*G19/(12*(O19-1))),1000),_xlfn.FLOOR.MATH(LOANLIMIT.FHA*1.0175,1000))</f>
        <v>-1000</v>
      </c>
      <c r="O19" s="193">
        <f t="shared" si="0"/>
        <v>7.8194503659847712</v>
      </c>
      <c r="S19" s="193">
        <f>IF(Calculator!D42=TRUE,T19,IF(Calculator!D43=TRUE,U19,V19))</f>
        <v>-1000</v>
      </c>
      <c r="T19" s="193">
        <f>MIN(_xlfn.FLOOR.MATH(((MaxPMTConv-2)-'Loan Options Sheet'!$CH$54-'Loan Options Sheet'!$CH$55-'Loan Options Sheet'!$CH$57)/(('Loan Options Sheet'!$BM$56/12)+(W19*(B19/12))/(W19-1)),1000),C.LOANLIMIT)</f>
        <v>-1000</v>
      </c>
      <c r="U19" s="193">
        <f>MIN(_xlfn.FLOOR.MATH((((MaxPMTConv-2)-'Loan Options Sheet'!$CH$54-'Loan Options Sheet'!$CH$55-'Loan Options Sheet'!$CH$57)/((W19*(B19/12))/(W19-1)))/(1+'Loan Options Sheet'!$BM$57),1000),C.LOANLIMIT)</f>
        <v>-1000</v>
      </c>
      <c r="V19" s="193">
        <f>MIN(_xlfn.FLOOR.MATH(((MaxPMTConv-2)-'Loan Options Sheet'!$CH$54-'Loan Options Sheet'!$CH$55-'Loan Options Sheet'!$CH$57)/((W19*(B19/12))/(W19-1)),1000),C.LOANLIMIT)</f>
        <v>-1000</v>
      </c>
      <c r="W19" s="193">
        <f t="shared" si="2"/>
        <v>8.744771963551262</v>
      </c>
    </row>
    <row r="20" spans="2:23" x14ac:dyDescent="0.3">
      <c r="B20" s="191">
        <v>7.3749999999999996E-2</v>
      </c>
      <c r="C20" s="191">
        <v>7.0499999999999998E-3</v>
      </c>
      <c r="D20" s="5">
        <f>IF(ISBLANK(B20)," ",IF(Calculator!$G$31=TRUE,_xlfn.FLOOR.MATH(S20/(1-'Loan Options Sheet'!$DD$58),1000),IF(Calculator!$H$31=TRUE,_xlfn.FLOOR.MATH(S20+'Loan Options Sheet'!$DK$58,1000),S20)))</f>
        <v>-1000</v>
      </c>
      <c r="G20" s="191">
        <v>7.0000000000000007E-2</v>
      </c>
      <c r="H20" s="191">
        <v>7.0499999999999998E-3</v>
      </c>
      <c r="I20" s="5">
        <f>IF(ISBLANK(G20)," ",IF(Calculator!$G$31=TRUE,_xlfn.FLOOR.MATH(M20/(1-'Loan Options Sheet'!$DD$58),1000),IF(Calculator!$H$31=TRUE,_xlfn.FLOOR.MATH(M20+'Loan Options Sheet'!$DK$58,1000),M20)))</f>
        <v>-1000</v>
      </c>
      <c r="J20" s="14"/>
      <c r="M20" s="193">
        <f t="shared" si="1"/>
        <v>-1000</v>
      </c>
      <c r="N20" s="193" cm="1">
        <f t="array" ref="N20">MIN(_xlfn.FLOOR.MATH(((MaxPMTFHA-2)-'Loan Options Sheet'!$CH$54-'Loan Options Sheet'!$CH$55-'Loan Options Sheet'!$CH$57)/(($Q$1/12)+O20*G20/(12*(O20-1))),1000),_xlfn.FLOOR.MATH(LOANLIMIT.FHA*1.0175,1000))</f>
        <v>-1000</v>
      </c>
      <c r="O20" s="193">
        <f t="shared" si="0"/>
        <v>8.1164974753596617</v>
      </c>
      <c r="S20" s="193">
        <f>IF(Calculator!D43=TRUE,T20,IF(Calculator!D44=TRUE,U20,V20))</f>
        <v>-1000</v>
      </c>
      <c r="T20" s="193">
        <f>MIN(_xlfn.FLOOR.MATH(((MaxPMTConv-2)-'Loan Options Sheet'!$CH$54-'Loan Options Sheet'!$CH$55-'Loan Options Sheet'!$CH$57)/(('Loan Options Sheet'!$BM$56/12)+(W20*(B20/12))/(W20-1)),1000),C.LOANLIMIT)</f>
        <v>-1000</v>
      </c>
      <c r="U20" s="193">
        <f>MIN(_xlfn.FLOOR.MATH((((MaxPMTConv-2)-'Loan Options Sheet'!$CH$54-'Loan Options Sheet'!$CH$55-'Loan Options Sheet'!$CH$57)/((W20*(B20/12))/(W20-1)))/(1+'Loan Options Sheet'!$BM$57),1000),C.LOANLIMIT)</f>
        <v>-1000</v>
      </c>
      <c r="V20" s="193">
        <f>MIN(_xlfn.FLOOR.MATH(((MaxPMTConv-2)-'Loan Options Sheet'!$CH$54-'Loan Options Sheet'!$CH$55-'Loan Options Sheet'!$CH$57)/((W20*(B20/12))/(W20-1)),1000),C.LOANLIMIT)</f>
        <v>-1000</v>
      </c>
      <c r="W20" s="193">
        <f t="shared" si="2"/>
        <v>9.0768652880453686</v>
      </c>
    </row>
    <row r="21" spans="2:23" x14ac:dyDescent="0.3">
      <c r="B21" s="191">
        <v>7.4999999999999997E-2</v>
      </c>
      <c r="C21" s="191">
        <v>3.5099999999999997E-3</v>
      </c>
      <c r="D21" s="5">
        <f>IF(ISBLANK(B21)," ",IF(Calculator!$G$31=TRUE,_xlfn.FLOOR.MATH(S21/(1-'Loan Options Sheet'!$DD$58),1000),IF(Calculator!$H$31=TRUE,_xlfn.FLOOR.MATH(S21+'Loan Options Sheet'!$DK$58,1000),S21)))</f>
        <v>-1000</v>
      </c>
      <c r="G21" s="191">
        <v>7.1249999999999994E-2</v>
      </c>
      <c r="H21" s="191">
        <v>3.5099999999999997E-3</v>
      </c>
      <c r="I21" s="5">
        <f>IF(ISBLANK(G21)," ",IF(Calculator!$G$31=TRUE,_xlfn.FLOOR.MATH(M21/(1-'Loan Options Sheet'!$DD$58),1000),IF(Calculator!$H$31=TRUE,_xlfn.FLOOR.MATH(M21+'Loan Options Sheet'!$DK$58,1000),M21)))</f>
        <v>-1000</v>
      </c>
      <c r="J21" s="14"/>
      <c r="M21" s="193">
        <f t="shared" si="1"/>
        <v>-1000</v>
      </c>
      <c r="N21" s="193" cm="1">
        <f t="array" ref="N21">MIN(_xlfn.FLOOR.MATH(((MaxPMTFHA-2)-'Loan Options Sheet'!$CH$54-'Loan Options Sheet'!$CH$55-'Loan Options Sheet'!$CH$57)/(($Q$1/12)+O21*G21/(12*(O21-1))),1000),_xlfn.FLOOR.MATH(LOANLIMIT.FHA*1.0175,1000))</f>
        <v>-1000</v>
      </c>
      <c r="O21" s="193">
        <f t="shared" si="0"/>
        <v>8.4247963509858597</v>
      </c>
      <c r="S21" s="193">
        <f>IF(Calculator!D44=TRUE,T21,IF(Calculator!D45=TRUE,U21,V21))</f>
        <v>-1000</v>
      </c>
      <c r="T21" s="193">
        <f>MIN(_xlfn.FLOOR.MATH(((MaxPMTConv-2)-'Loan Options Sheet'!$CH$54-'Loan Options Sheet'!$CH$55-'Loan Options Sheet'!$CH$57)/(('Loan Options Sheet'!$BM$56/12)+(W21*(B21/12))/(W21-1)),1000),C.LOANLIMIT)</f>
        <v>-1000</v>
      </c>
      <c r="U21" s="193">
        <f>MIN(_xlfn.FLOOR.MATH((((MaxPMTConv-2)-'Loan Options Sheet'!$CH$54-'Loan Options Sheet'!$CH$55-'Loan Options Sheet'!$CH$57)/((W21*(B21/12))/(W21-1)))/(1+'Loan Options Sheet'!$BM$57),1000),C.LOANLIMIT)</f>
        <v>-1000</v>
      </c>
      <c r="V21" s="193">
        <f>MIN(_xlfn.FLOOR.MATH(((MaxPMTConv-2)-'Loan Options Sheet'!$CH$54-'Loan Options Sheet'!$CH$55-'Loan Options Sheet'!$CH$57)/((W21*(B21/12))/(W21-1)),1000),C.LOANLIMIT)</f>
        <v>-1000</v>
      </c>
      <c r="W21" s="193">
        <f t="shared" si="2"/>
        <v>9.4215339047287756</v>
      </c>
    </row>
    <row r="22" spans="2:23" x14ac:dyDescent="0.3">
      <c r="B22" s="191">
        <v>7.6249999999999998E-2</v>
      </c>
      <c r="C22" s="191">
        <v>-5.0000000000000001E-4</v>
      </c>
      <c r="D22" s="5">
        <f>IF(ISBLANK(B22)," ",IF(Calculator!$G$31=TRUE,_xlfn.FLOOR.MATH(S22/(1-'Loan Options Sheet'!$DD$58),1000),IF(Calculator!$H$31=TRUE,_xlfn.FLOOR.MATH(S22+'Loan Options Sheet'!$DK$58,1000),S22)))</f>
        <v>-1000</v>
      </c>
      <c r="G22" s="191">
        <v>7.2499999999999995E-2</v>
      </c>
      <c r="H22" s="191">
        <v>-5.0000000000000001E-4</v>
      </c>
      <c r="I22" s="5">
        <f>IF(ISBLANK(G22)," ",IF(Calculator!$G$31=TRUE,_xlfn.FLOOR.MATH(M22/(1-'Loan Options Sheet'!$DD$58),1000),IF(Calculator!$H$31=TRUE,_xlfn.FLOOR.MATH(M22+'Loan Options Sheet'!$DK$58,1000),M22)))</f>
        <v>-1000</v>
      </c>
      <c r="J22" s="14"/>
      <c r="M22" s="193">
        <f>_xlfn.FLOOR.MATH(N22/1.0175,1000)</f>
        <v>-1000</v>
      </c>
      <c r="N22" s="193" cm="1">
        <f t="array" ref="N22">MIN(_xlfn.FLOOR.MATH(((MaxPMTFHA-2)-'Loan Options Sheet'!$CH$54-'Loan Options Sheet'!$CH$55-'Loan Options Sheet'!$CH$57)/(($Q$1/12)+O22*G22/(12*(O22-1))),1000),_xlfn.FLOOR.MATH(LOANLIMIT.FHA*1.0175,1000))</f>
        <v>-1000</v>
      </c>
      <c r="O22" s="193">
        <f t="shared" si="0"/>
        <v>8.744771963551262</v>
      </c>
      <c r="S22" s="193">
        <f>IF(Calculator!D45=TRUE,T22,IF(Calculator!D46=TRUE,U22,V22))</f>
        <v>-1000</v>
      </c>
      <c r="T22" s="193">
        <f>MIN(_xlfn.FLOOR.MATH(((MaxPMTConv-2)-'Loan Options Sheet'!$CH$54-'Loan Options Sheet'!$CH$55-'Loan Options Sheet'!$CH$57)/(('Loan Options Sheet'!$BM$56/12)+(W22*(B22/12))/(W22-1)),1000),C.LOANLIMIT)</f>
        <v>-1000</v>
      </c>
      <c r="U22" s="193">
        <f>MIN(_xlfn.FLOOR.MATH((((MaxPMTConv-2)-'Loan Options Sheet'!$CH$54-'Loan Options Sheet'!$CH$55-'Loan Options Sheet'!$CH$57)/((W22*(B22/12))/(W22-1)))/(1+'Loan Options Sheet'!$BM$57),1000),C.LOANLIMIT)</f>
        <v>-1000</v>
      </c>
      <c r="V22" s="193">
        <f>MIN(_xlfn.FLOOR.MATH(((MaxPMTConv-2)-'Loan Options Sheet'!$CH$54-'Loan Options Sheet'!$CH$55-'Loan Options Sheet'!$CH$57)/((W22*(B22/12))/(W22-1)),1000),C.LOANLIMIT)</f>
        <v>-1000</v>
      </c>
      <c r="W22" s="193">
        <f>(1+B22/12)^360</f>
        <v>9.7792526225990262</v>
      </c>
    </row>
    <row r="23" spans="2:23" x14ac:dyDescent="0.3">
      <c r="B23" s="190"/>
      <c r="D23" s="188" t="str">
        <f>IF(ISBLANK(B23)," ",IF(Calculator!$G$31=TRUE,_xlfn.FLOOR.MATH(S23/(1-'Loan Options Sheet'!$DD$58),1000),IF(Calculator!$H$31=TRUE,_xlfn.FLOOR.MATH(S23+'Loan Options Sheet'!$DK$58,1000),S23)))</f>
        <v xml:space="preserve"> </v>
      </c>
      <c r="G23" s="190"/>
      <c r="I23" s="188" t="str">
        <f>IF(ISBLANK(G23)," ",IF(Calculator!$G$31=TRUE,_xlfn.FLOOR.MATH(M23/(1-'Loan Options Sheet'!$DD$58),1000),IF(Calculator!$H$31=TRUE,_xlfn.FLOOR.MATH(M23+'Loan Options Sheet'!$DK$58,1000),M23)))</f>
        <v xml:space="preserve"> </v>
      </c>
      <c r="J23" s="188"/>
      <c r="M23" s="193" t="e">
        <f t="shared" si="1"/>
        <v>#DIV/0!</v>
      </c>
      <c r="N23" s="193" t="e" cm="1">
        <f t="array" ref="N23">MIN(_xlfn.FLOOR.MATH(((MaxPMTFHA-2)-'Loan Options Sheet'!$CH$54-'Loan Options Sheet'!$CH$55-'Loan Options Sheet'!$CH$57)/(($Q$1/12)+O23*RATE/(12*(O23-1))),1000),_xlfn.FLOOR.MATH(LOANLIMIT.FHA*1.0175,1000))</f>
        <v>#DIV/0!</v>
      </c>
      <c r="O23" s="193">
        <f t="shared" si="0"/>
        <v>1</v>
      </c>
      <c r="S23" s="193" t="e">
        <f>IF(Calculator!D46=TRUE,T23,IF(Calculator!D47=TRUE,U23,V23))</f>
        <v>#DIV/0!</v>
      </c>
      <c r="T23" s="193" t="e">
        <f>MIN(_xlfn.FLOOR.MATH(((MaxPMTConv-2)-'Loan Options Sheet'!$CH$54-'Loan Options Sheet'!$CH$55-'Loan Options Sheet'!$CH$57)/(('Loan Options Sheet'!$BM$56/12)+(W23*(B23/12))/(W23-1)),1000),C.LOANLIMIT)</f>
        <v>#DIV/0!</v>
      </c>
      <c r="U23" s="193" t="e">
        <f>MIN(_xlfn.FLOOR.MATH((((MaxPMTConv-2)-'Loan Options Sheet'!$CH$54-'Loan Options Sheet'!$CH$55-'Loan Options Sheet'!$CH$57)/((W23*(B23/12))/(W23-1)))/(1+'Loan Options Sheet'!$BM$57),1000),C.LOANLIMIT)</f>
        <v>#DIV/0!</v>
      </c>
      <c r="V23" s="193" t="e">
        <f>MIN(_xlfn.FLOOR.MATH(((MaxPMTConv-2)-'Loan Options Sheet'!$CH$54-'Loan Options Sheet'!$CH$55-'Loan Options Sheet'!$CH$57)/((W23*(B23/12))/(W23-1)),1000),C.LOANLIMIT)</f>
        <v>#DIV/0!</v>
      </c>
      <c r="W23" s="193">
        <f t="shared" si="2"/>
        <v>1</v>
      </c>
    </row>
    <row r="24" spans="2:23" x14ac:dyDescent="0.3">
      <c r="D24" s="188" t="str">
        <f>IF(ISBLANK(B24)," ",IF(Calculator!$G$31=TRUE,_xlfn.FLOOR.MATH(S24/(1-'Loan Options Sheet'!$DD$58),1000),IF(Calculator!$H$31=TRUE,_xlfn.FLOOR.MATH(S24+'Loan Options Sheet'!$DK$58,1000),S24)))</f>
        <v xml:space="preserve"> </v>
      </c>
      <c r="I24" s="188" t="str">
        <f>IF(ISBLANK(G24)," ",IF(Calculator!$G$31=TRUE,_xlfn.FLOOR.MATH(M24/(1-'Loan Options Sheet'!$DD$58),1000),IF(Calculator!$H$31=TRUE,_xlfn.FLOOR.MATH(M24+'Loan Options Sheet'!$DK$58,1000),M24)))</f>
        <v xml:space="preserve"> </v>
      </c>
      <c r="J24" s="188"/>
      <c r="M24" s="193" t="e">
        <f t="shared" si="1"/>
        <v>#DIV/0!</v>
      </c>
      <c r="N24" s="193" t="e" cm="1">
        <f t="array" ref="N24">MIN(_xlfn.FLOOR.MATH(((MaxPMTFHA-2)-'Loan Options Sheet'!$CH$54-'Loan Options Sheet'!$CH$55-'Loan Options Sheet'!$CH$57)/(($Q$1/12)+O24*RATE/(12*(O24-1))),1000),_xlfn.FLOOR.MATH(LOANLIMIT.FHA*1.0175,1000))</f>
        <v>#DIV/0!</v>
      </c>
      <c r="O24" s="193">
        <f t="shared" si="0"/>
        <v>1</v>
      </c>
      <c r="S24" s="193" t="e">
        <f>IF(Calculator!D47=TRUE,T24,IF(Calculator!D48=TRUE,U24,V24))</f>
        <v>#DIV/0!</v>
      </c>
      <c r="T24" s="193" t="e">
        <f>MIN(_xlfn.FLOOR.MATH(((MaxPMTConv-2)-'Loan Options Sheet'!$CH$54-'Loan Options Sheet'!$CH$55-'Loan Options Sheet'!$CH$57)/(('Loan Options Sheet'!$BM$56/12)+(W24*(B24/12))/(W24-1)),1000),C.LOANLIMIT)</f>
        <v>#DIV/0!</v>
      </c>
      <c r="U24" s="193" t="e">
        <f>MIN(_xlfn.FLOOR.MATH((((MaxPMTConv-2)-'Loan Options Sheet'!$CH$54-'Loan Options Sheet'!$CH$55-'Loan Options Sheet'!$CH$57)/((W24*(B24/12))/(W24-1)))/(1+'Loan Options Sheet'!$BM$57),1000),C.LOANLIMIT)</f>
        <v>#DIV/0!</v>
      </c>
      <c r="V24" s="193" t="e">
        <f>MIN(_xlfn.FLOOR.MATH(((MaxPMTConv-2)-'Loan Options Sheet'!$CH$54-'Loan Options Sheet'!$CH$55-'Loan Options Sheet'!$CH$57)/((W24*(B24/12))/(W24-1)),1000),C.LOANLIMIT)</f>
        <v>#DIV/0!</v>
      </c>
      <c r="W24" s="193">
        <f t="shared" si="2"/>
        <v>1</v>
      </c>
    </row>
    <row r="25" spans="2:23" x14ac:dyDescent="0.3">
      <c r="D25" s="188" t="str">
        <f>IF(ISBLANK(B25)," ",IF(Calculator!$G$31=TRUE,_xlfn.FLOOR.MATH(S25/(1-'Loan Options Sheet'!$DD$58),1000),IF(Calculator!$H$31=TRUE,_xlfn.FLOOR.MATH(S25+'Loan Options Sheet'!$DK$58,1000),S25)))</f>
        <v xml:space="preserve"> </v>
      </c>
      <c r="I25" s="188" t="str">
        <f>IF(ISBLANK(G25)," ",IF(Calculator!$G$31=TRUE,_xlfn.FLOOR.MATH(M25/(1-'Loan Options Sheet'!$DD$58),1000),IF(Calculator!$H$31=TRUE,_xlfn.FLOOR.MATH(M25+'Loan Options Sheet'!$DK$58,1000),M25)))</f>
        <v xml:space="preserve"> </v>
      </c>
      <c r="J25" s="188"/>
      <c r="M25" s="193" t="e">
        <f t="shared" si="1"/>
        <v>#DIV/0!</v>
      </c>
      <c r="N25" s="193" t="e" cm="1">
        <f t="array" ref="N25">MIN(_xlfn.FLOOR.MATH(((MaxPMTFHA-2)-'Loan Options Sheet'!$CH$54-'Loan Options Sheet'!$CH$55-'Loan Options Sheet'!$CH$57)/(($Q$1/12)+O25*RATE/(12*(O25-1))),1000),_xlfn.FLOOR.MATH(LOANLIMIT.FHA*1.0175,1000))</f>
        <v>#DIV/0!</v>
      </c>
      <c r="O25" s="193">
        <f t="shared" si="0"/>
        <v>1</v>
      </c>
      <c r="S25" s="193" t="e">
        <f>IF(Calculator!D48=TRUE,T25,IF(Calculator!D49=TRUE,U25,V25))</f>
        <v>#DIV/0!</v>
      </c>
      <c r="T25" s="193" t="e">
        <f>MIN(_xlfn.FLOOR.MATH(((MaxPMTConv-2)-'Loan Options Sheet'!$CH$54-'Loan Options Sheet'!$CH$55-'Loan Options Sheet'!$CH$57)/(('Loan Options Sheet'!$BM$56/12)+(W25*(B25/12))/(W25-1)),1000),C.LOANLIMIT)</f>
        <v>#DIV/0!</v>
      </c>
      <c r="U25" s="193" t="e">
        <f>MIN(_xlfn.FLOOR.MATH((((MaxPMTConv-2)-'Loan Options Sheet'!$CH$54-'Loan Options Sheet'!$CH$55-'Loan Options Sheet'!$CH$57)/((W25*(B25/12))/(W25-1)))/(1+'Loan Options Sheet'!$BM$57),1000),C.LOANLIMIT)</f>
        <v>#DIV/0!</v>
      </c>
      <c r="V25" s="193" t="e">
        <f>MIN(_xlfn.FLOOR.MATH(((MaxPMTConv-2)-'Loan Options Sheet'!$CH$54-'Loan Options Sheet'!$CH$55-'Loan Options Sheet'!$CH$57)/((W25*(B25/12))/(W25-1)),1000),C.LOANLIMIT)</f>
        <v>#DIV/0!</v>
      </c>
      <c r="W25" s="193">
        <f t="shared" si="2"/>
        <v>1</v>
      </c>
    </row>
    <row r="26" spans="2:23" x14ac:dyDescent="0.3">
      <c r="D26" s="188" t="str">
        <f>IF(ISBLANK(B26)," ",IF(Calculator!$G$31=TRUE,_xlfn.FLOOR.MATH(S26/(1-'Loan Options Sheet'!$DD$58),1000),IF(Calculator!$H$31=TRUE,_xlfn.FLOOR.MATH(S26+'Loan Options Sheet'!$DK$58,1000),S26)))</f>
        <v xml:space="preserve"> </v>
      </c>
      <c r="I26" s="188" t="str">
        <f>IF(ISBLANK(G26)," ",IF(Calculator!$G$31=TRUE,_xlfn.FLOOR.MATH(M26/(1-'Loan Options Sheet'!$DD$58),1000),IF(Calculator!$H$31=TRUE,_xlfn.FLOOR.MATH(M26+'Loan Options Sheet'!$DK$58,1000),M26)))</f>
        <v xml:space="preserve"> </v>
      </c>
      <c r="J26" s="188"/>
      <c r="M26" s="193" t="e">
        <f t="shared" si="1"/>
        <v>#DIV/0!</v>
      </c>
      <c r="N26" s="193" t="e" cm="1">
        <f t="array" ref="N26">MIN(_xlfn.FLOOR.MATH(((MaxPMTFHA-2)-'Loan Options Sheet'!$CH$54-'Loan Options Sheet'!$CH$55-'Loan Options Sheet'!$CH$57)/(($Q$1/12)+O26*RATE/(12*(O26-1))),1000),_xlfn.FLOOR.MATH(LOANLIMIT.FHA*1.0175,1000))</f>
        <v>#DIV/0!</v>
      </c>
      <c r="O26" s="193">
        <f t="shared" si="0"/>
        <v>1</v>
      </c>
      <c r="S26" s="193" t="e">
        <f>IF(Calculator!D49=TRUE,T26,IF(Calculator!D50=TRUE,U26,V26))</f>
        <v>#DIV/0!</v>
      </c>
      <c r="T26" s="193" t="e">
        <f>MIN(_xlfn.FLOOR.MATH(((MaxPMTConv-2)-'Loan Options Sheet'!$CH$54-'Loan Options Sheet'!$CH$55-'Loan Options Sheet'!$CH$57)/(('Loan Options Sheet'!$BM$56/12)+(W26*(B26/12))/(W26-1)),1000),C.LOANLIMIT)</f>
        <v>#DIV/0!</v>
      </c>
      <c r="U26" s="193" t="e">
        <f>MIN(_xlfn.FLOOR.MATH((((MaxPMTConv-2)-'Loan Options Sheet'!$CH$54-'Loan Options Sheet'!$CH$55-'Loan Options Sheet'!$CH$57)/((W26*(B26/12))/(W26-1)))/(1+'Loan Options Sheet'!$BM$57),1000),C.LOANLIMIT)</f>
        <v>#DIV/0!</v>
      </c>
      <c r="V26" s="193" t="e">
        <f>MIN(_xlfn.FLOOR.MATH(((MaxPMTConv-2)-'Loan Options Sheet'!$CH$54-'Loan Options Sheet'!$CH$55-'Loan Options Sheet'!$CH$57)/((W26*(B26/12))/(W26-1)),1000),C.LOANLIMIT)</f>
        <v>#DIV/0!</v>
      </c>
      <c r="W26" s="193">
        <f t="shared" si="2"/>
        <v>1</v>
      </c>
    </row>
    <row r="27" spans="2:23" x14ac:dyDescent="0.3">
      <c r="D27" s="188" t="str">
        <f>IF(ISBLANK(B27)," ",IF(Calculator!$G$31=TRUE,_xlfn.FLOOR.MATH(S27/(1-'Loan Options Sheet'!$DD$58),1000),IF(Calculator!$H$31=TRUE,_xlfn.FLOOR.MATH(S27+'Loan Options Sheet'!$DK$58,1000),S27)))</f>
        <v xml:space="preserve"> </v>
      </c>
      <c r="I27" s="188" t="str">
        <f>IF(ISBLANK(G27)," ",IF(Calculator!$G$31=TRUE,_xlfn.FLOOR.MATH(M27/(1-'Loan Options Sheet'!$DD$58),1000),IF(Calculator!$H$31=TRUE,_xlfn.FLOOR.MATH(M27+'Loan Options Sheet'!$DK$58,1000),M27)))</f>
        <v xml:space="preserve"> </v>
      </c>
      <c r="J27" s="188"/>
      <c r="M27" s="193" t="e">
        <f t="shared" si="1"/>
        <v>#DIV/0!</v>
      </c>
      <c r="N27" s="193" t="e" cm="1">
        <f t="array" ref="N27">MIN(_xlfn.FLOOR.MATH(((MaxPMTFHA-2)-'Loan Options Sheet'!$CH$54-'Loan Options Sheet'!$CH$55-'Loan Options Sheet'!$CH$57)/(($Q$1/12)+O27*RATE/(12*(O27-1))),1000),_xlfn.FLOOR.MATH(LOANLIMIT.FHA*1.0175,1000))</f>
        <v>#DIV/0!</v>
      </c>
      <c r="O27" s="193">
        <f t="shared" si="0"/>
        <v>1</v>
      </c>
      <c r="S27" s="193" t="e">
        <f>IF(Calculator!D50=TRUE,T27,IF(Calculator!D51=TRUE,U27,V27))</f>
        <v>#DIV/0!</v>
      </c>
      <c r="T27" s="193" t="e">
        <f>MIN(_xlfn.FLOOR.MATH(((MaxPMTConv-2)-'Loan Options Sheet'!$CH$54-'Loan Options Sheet'!$CH$55-'Loan Options Sheet'!$CH$57)/(('Loan Options Sheet'!$BM$56/12)+(W27*(B27/12))/(W27-1)),1000),C.LOANLIMIT)</f>
        <v>#DIV/0!</v>
      </c>
      <c r="U27" s="193" t="e">
        <f>MIN(_xlfn.FLOOR.MATH((((MaxPMTConv-2)-'Loan Options Sheet'!$CH$54-'Loan Options Sheet'!$CH$55-'Loan Options Sheet'!$CH$57)/((W27*(B27/12))/(W27-1)))/(1+'Loan Options Sheet'!$BM$57),1000),C.LOANLIMIT)</f>
        <v>#DIV/0!</v>
      </c>
      <c r="V27" s="193" t="e">
        <f>MIN(_xlfn.FLOOR.MATH(((MaxPMTConv-2)-'Loan Options Sheet'!$CH$54-'Loan Options Sheet'!$CH$55-'Loan Options Sheet'!$CH$57)/((W27*(B27/12))/(W27-1)),1000),C.LOANLIMIT)</f>
        <v>#DIV/0!</v>
      </c>
      <c r="W27" s="193">
        <f t="shared" si="2"/>
        <v>1</v>
      </c>
    </row>
    <row r="28" spans="2:23" x14ac:dyDescent="0.3">
      <c r="D28" s="188" t="str">
        <f>IF(ISBLANK(B28)," ",IF(Calculator!$G$31=TRUE,_xlfn.FLOOR.MATH(S28/(1-'Loan Options Sheet'!$DD$58),1000),IF(Calculator!$H$31=TRUE,_xlfn.FLOOR.MATH(S28+'Loan Options Sheet'!$DK$58,1000),S28)))</f>
        <v xml:space="preserve"> </v>
      </c>
      <c r="I28" s="188" t="str">
        <f>IF(ISBLANK(G28)," ",IF(Calculator!$G$31=TRUE,_xlfn.FLOOR.MATH(M28/(1-'Loan Options Sheet'!$DD$58),1000),IF(Calculator!$H$31=TRUE,_xlfn.FLOOR.MATH(M28+'Loan Options Sheet'!$DK$58,1000),M28)))</f>
        <v xml:space="preserve"> </v>
      </c>
      <c r="J28" s="188"/>
      <c r="M28" s="193" t="e">
        <f t="shared" si="1"/>
        <v>#DIV/0!</v>
      </c>
      <c r="N28" s="193" t="e" cm="1">
        <f t="array" ref="N28">MIN(_xlfn.FLOOR.MATH(((MaxPMTFHA-2)-'Loan Options Sheet'!$CH$54-'Loan Options Sheet'!$CH$55-'Loan Options Sheet'!$CH$57)/(($Q$1/12)+O28*RATE/(12*(O28-1))),1000),_xlfn.FLOOR.MATH(LOANLIMIT.FHA*1.0175,1000))</f>
        <v>#DIV/0!</v>
      </c>
      <c r="O28" s="193">
        <f t="shared" si="0"/>
        <v>1</v>
      </c>
      <c r="S28" s="193" t="e">
        <f>IF(Calculator!D51=TRUE,T28,IF(Calculator!D52=TRUE,U28,V28))</f>
        <v>#DIV/0!</v>
      </c>
      <c r="T28" s="193" t="e">
        <f>MIN(_xlfn.FLOOR.MATH(((MaxPMTConv-2)-'Loan Options Sheet'!$CH$54-'Loan Options Sheet'!$CH$55-'Loan Options Sheet'!$CH$57)/(('Loan Options Sheet'!$BM$56/12)+(W28*(B28/12))/(W28-1)),1000),C.LOANLIMIT)</f>
        <v>#DIV/0!</v>
      </c>
      <c r="U28" s="193" t="e">
        <f>MIN(_xlfn.FLOOR.MATH((((MaxPMTConv-2)-'Loan Options Sheet'!$CH$54-'Loan Options Sheet'!$CH$55-'Loan Options Sheet'!$CH$57)/((W28*(B28/12))/(W28-1)))/(1+'Loan Options Sheet'!$BM$57),1000),C.LOANLIMIT)</f>
        <v>#DIV/0!</v>
      </c>
      <c r="V28" s="193" t="e">
        <f>MIN(_xlfn.FLOOR.MATH(((MaxPMTConv-2)-'Loan Options Sheet'!$CH$54-'Loan Options Sheet'!$CH$55-'Loan Options Sheet'!$CH$57)/((W28*(B28/12))/(W28-1)),1000),C.LOANLIMIT)</f>
        <v>#DIV/0!</v>
      </c>
      <c r="W28" s="193">
        <f t="shared" si="2"/>
        <v>1</v>
      </c>
    </row>
    <row r="29" spans="2:23" x14ac:dyDescent="0.3">
      <c r="D29" s="188" t="str">
        <f>IF(ISBLANK(B29)," ",IF(Calculator!$G$31=TRUE,_xlfn.FLOOR.MATH(S29/(1-'Loan Options Sheet'!$DD$58),1000),IF(Calculator!$H$31=TRUE,_xlfn.FLOOR.MATH(S29+'Loan Options Sheet'!$DK$58,1000),S29)))</f>
        <v xml:space="preserve"> </v>
      </c>
      <c r="I29" s="188" t="str">
        <f>IF(ISBLANK(G29)," ",IF(Calculator!$G$31=TRUE,_xlfn.FLOOR.MATH(M29/(1-'Loan Options Sheet'!$DD$58),1000),IF(Calculator!$H$31=TRUE,_xlfn.FLOOR.MATH(M29+'Loan Options Sheet'!$DK$58,1000),M29)))</f>
        <v xml:space="preserve"> </v>
      </c>
      <c r="J29" s="188"/>
      <c r="M29" s="193" t="e">
        <f t="shared" si="1"/>
        <v>#DIV/0!</v>
      </c>
      <c r="N29" s="193" t="e" cm="1">
        <f t="array" ref="N29">MIN(_xlfn.FLOOR.MATH(((MaxPMTFHA-2)-'Loan Options Sheet'!$CH$54-'Loan Options Sheet'!$CH$55-'Loan Options Sheet'!$CH$57)/(($Q$1/12)+O29*RATE/(12*(O29-1))),1000),_xlfn.FLOOR.MATH(LOANLIMIT.FHA*1.0175,1000))</f>
        <v>#DIV/0!</v>
      </c>
      <c r="O29" s="193">
        <f t="shared" si="0"/>
        <v>1</v>
      </c>
      <c r="S29" s="193" t="e">
        <f>IF(Calculator!D52=TRUE,T29,IF(Calculator!D53=TRUE,U29,V29))</f>
        <v>#DIV/0!</v>
      </c>
      <c r="T29" s="193" t="e">
        <f>MIN(_xlfn.FLOOR.MATH(((MaxPMTConv-2)-'Loan Options Sheet'!$CH$54-'Loan Options Sheet'!$CH$55-'Loan Options Sheet'!$CH$57)/(('Loan Options Sheet'!$BM$56/12)+(W29*(B29/12))/(W29-1)),1000),C.LOANLIMIT)</f>
        <v>#DIV/0!</v>
      </c>
      <c r="U29" s="193" t="e">
        <f>MIN(_xlfn.FLOOR.MATH((((MaxPMTConv-2)-'Loan Options Sheet'!$CH$54-'Loan Options Sheet'!$CH$55-'Loan Options Sheet'!$CH$57)/((W29*(B29/12))/(W29-1)))/(1+'Loan Options Sheet'!$BM$57),1000),C.LOANLIMIT)</f>
        <v>#DIV/0!</v>
      </c>
      <c r="V29" s="193" t="e">
        <f>MIN(_xlfn.FLOOR.MATH(((MaxPMTConv-2)-'Loan Options Sheet'!$CH$54-'Loan Options Sheet'!$CH$55-'Loan Options Sheet'!$CH$57)/((W29*(B29/12))/(W29-1)),1000),C.LOANLIMIT)</f>
        <v>#DIV/0!</v>
      </c>
      <c r="W29" s="193">
        <f t="shared" si="2"/>
        <v>1</v>
      </c>
    </row>
    <row r="30" spans="2:23" x14ac:dyDescent="0.3">
      <c r="D30" s="188" t="str">
        <f>IF(ISBLANK(B30)," ",IF(Calculator!$G$31=TRUE,_xlfn.FLOOR.MATH(S30/(1-'Loan Options Sheet'!$DD$58),1000),IF(Calculator!$H$31=TRUE,_xlfn.FLOOR.MATH(S30+'Loan Options Sheet'!$DK$58,1000),S30)))</f>
        <v xml:space="preserve"> </v>
      </c>
      <c r="I30" s="188" t="str">
        <f>IF(ISBLANK(G30)," ",IF(Calculator!$G$31=TRUE,_xlfn.FLOOR.MATH(M30/(1-'Loan Options Sheet'!$DD$58),1000),IF(Calculator!$H$31=TRUE,_xlfn.FLOOR.MATH(M30+'Loan Options Sheet'!$DK$58,1000),M30)))</f>
        <v xml:space="preserve"> </v>
      </c>
      <c r="J30" s="188"/>
      <c r="M30" s="193" t="e">
        <f t="shared" si="1"/>
        <v>#DIV/0!</v>
      </c>
      <c r="N30" s="193" t="e" cm="1">
        <f t="array" ref="N30">MIN(_xlfn.FLOOR.MATH(((MaxPMTFHA-2)-'Loan Options Sheet'!$CH$54-'Loan Options Sheet'!$CH$55-'Loan Options Sheet'!$CH$57)/(($Q$1/12)+O30*RATE/(12*(O30-1))),1000),_xlfn.FLOOR.MATH(LOANLIMIT.FHA*1.0175,1000))</f>
        <v>#DIV/0!</v>
      </c>
      <c r="O30" s="193">
        <f t="shared" si="0"/>
        <v>1</v>
      </c>
      <c r="S30" s="193" t="e">
        <f>IF(Calculator!D53=TRUE,T30,IF(Calculator!D54=TRUE,U30,V30))</f>
        <v>#DIV/0!</v>
      </c>
      <c r="T30" s="193" t="e">
        <f>MIN(_xlfn.FLOOR.MATH(((MaxPMTConv-2)-'Loan Options Sheet'!$CH$54-'Loan Options Sheet'!$CH$55-'Loan Options Sheet'!$CH$57)/(('Loan Options Sheet'!$BM$56/12)+(W30*(B30/12))/(W30-1)),1000),C.LOANLIMIT)</f>
        <v>#DIV/0!</v>
      </c>
      <c r="U30" s="193" t="e">
        <f>MIN(_xlfn.FLOOR.MATH((((MaxPMTConv-2)-'Loan Options Sheet'!$CH$54-'Loan Options Sheet'!$CH$55-'Loan Options Sheet'!$CH$57)/((W30*(B30/12))/(W30-1)))/(1+'Loan Options Sheet'!$BM$57),1000),C.LOANLIMIT)</f>
        <v>#DIV/0!</v>
      </c>
      <c r="V30" s="193" t="e">
        <f>MIN(_xlfn.FLOOR.MATH(((MaxPMTConv-2)-'Loan Options Sheet'!$CH$54-'Loan Options Sheet'!$CH$55-'Loan Options Sheet'!$CH$57)/((W30*(B30/12))/(W30-1)),1000),C.LOANLIMIT)</f>
        <v>#DIV/0!</v>
      </c>
      <c r="W30" s="193">
        <f t="shared" si="2"/>
        <v>1</v>
      </c>
    </row>
    <row r="31" spans="2:23" x14ac:dyDescent="0.3">
      <c r="D31" s="188" t="str">
        <f>IF(ISBLANK(B31)," ",IF(Calculator!$G$31=TRUE,_xlfn.FLOOR.MATH(S31/(1-'Loan Options Sheet'!$DD$58),1000),IF(Calculator!$H$31=TRUE,_xlfn.FLOOR.MATH(S31+'Loan Options Sheet'!$DK$58,1000),S31)))</f>
        <v xml:space="preserve"> </v>
      </c>
      <c r="I31" s="188" t="str">
        <f>IF(ISBLANK(G31)," ",IF(Calculator!$G$31=TRUE,_xlfn.FLOOR.MATH(M31/(1-'Loan Options Sheet'!$DD$58),1000),IF(Calculator!$H$31=TRUE,_xlfn.FLOOR.MATH(M31+'Loan Options Sheet'!$DK$58,1000),M31)))</f>
        <v xml:space="preserve"> </v>
      </c>
      <c r="J31" s="188"/>
      <c r="M31" s="193" t="e">
        <f t="shared" si="1"/>
        <v>#DIV/0!</v>
      </c>
      <c r="N31" s="193" t="e" cm="1">
        <f t="array" ref="N31">MIN(_xlfn.FLOOR.MATH(((MaxPMTFHA-2)-'Loan Options Sheet'!$CH$54-'Loan Options Sheet'!$CH$55-'Loan Options Sheet'!$CH$57)/(($Q$1/12)+O31*RATE/(12*(O31-1))),1000),_xlfn.FLOOR.MATH(LOANLIMIT.FHA*1.0175,1000))</f>
        <v>#DIV/0!</v>
      </c>
      <c r="O31" s="193">
        <f t="shared" si="0"/>
        <v>1</v>
      </c>
      <c r="S31" s="193" t="e">
        <f>IF(Calculator!D54=TRUE,T31,IF(Calculator!D55=TRUE,U31,V31))</f>
        <v>#DIV/0!</v>
      </c>
      <c r="T31" s="193" t="e">
        <f>MIN(_xlfn.FLOOR.MATH(((MaxPMTConv-2)-'Loan Options Sheet'!$CH$54-'Loan Options Sheet'!$CH$55-'Loan Options Sheet'!$CH$57)/(('Loan Options Sheet'!$BM$56/12)+(W31*(B31/12))/(W31-1)),1000),C.LOANLIMIT)</f>
        <v>#DIV/0!</v>
      </c>
      <c r="U31" s="193" t="e">
        <f>MIN(_xlfn.FLOOR.MATH((((MaxPMTConv-2)-'Loan Options Sheet'!$CH$54-'Loan Options Sheet'!$CH$55-'Loan Options Sheet'!$CH$57)/((W31*(B31/12))/(W31-1)))/(1+'Loan Options Sheet'!$BM$57),1000),C.LOANLIMIT)</f>
        <v>#DIV/0!</v>
      </c>
      <c r="V31" s="193" t="e">
        <f>MIN(_xlfn.FLOOR.MATH(((MaxPMTConv-2)-'Loan Options Sheet'!$CH$54-'Loan Options Sheet'!$CH$55-'Loan Options Sheet'!$CH$57)/((W31*(B31/12))/(W31-1)),1000),C.LOANLIMIT)</f>
        <v>#DIV/0!</v>
      </c>
      <c r="W31" s="193">
        <f t="shared" si="2"/>
        <v>1</v>
      </c>
    </row>
    <row r="32" spans="2:23" x14ac:dyDescent="0.3">
      <c r="D32" s="188" t="str">
        <f>IF(ISBLANK(B32)," ",IF(Calculator!$G$31=TRUE,_xlfn.FLOOR.MATH(S32/(1-'Loan Options Sheet'!$DD$58),1000),IF(Calculator!$H$31=TRUE,_xlfn.FLOOR.MATH(S32+'Loan Options Sheet'!$DK$58,1000),S32)))</f>
        <v xml:space="preserve"> </v>
      </c>
      <c r="I32" s="188" t="str">
        <f>IF(ISBLANK(G32)," ",IF(Calculator!$G$31=TRUE,_xlfn.FLOOR.MATH(M32/(1-'Loan Options Sheet'!$DD$58),1000),IF(Calculator!$H$31=TRUE,_xlfn.FLOOR.MATH(M32+'Loan Options Sheet'!$DK$58,1000),M32)))</f>
        <v xml:space="preserve"> </v>
      </c>
      <c r="J32" s="188"/>
      <c r="M32" s="193" t="e">
        <f t="shared" si="1"/>
        <v>#DIV/0!</v>
      </c>
      <c r="N32" s="193" t="e" cm="1">
        <f t="array" ref="N32">MIN(_xlfn.FLOOR.MATH(((MaxPMTFHA-2)-'Loan Options Sheet'!$CH$54-'Loan Options Sheet'!$CH$55-'Loan Options Sheet'!$CH$57)/(($Q$1/12)+O32*RATE/(12*(O32-1))),1000),_xlfn.FLOOR.MATH(LOANLIMIT.FHA*1.0175,1000))</f>
        <v>#DIV/0!</v>
      </c>
      <c r="O32" s="193">
        <f t="shared" si="0"/>
        <v>1</v>
      </c>
      <c r="S32" s="193" t="e">
        <f>IF(Calculator!D55=TRUE,T32,IF(Calculator!D56=TRUE,U32,V32))</f>
        <v>#DIV/0!</v>
      </c>
      <c r="T32" s="193" t="e">
        <f>MIN(_xlfn.FLOOR.MATH(((MaxPMTConv-2)-'Loan Options Sheet'!$CH$54-'Loan Options Sheet'!$CH$55-'Loan Options Sheet'!$CH$57)/(('Loan Options Sheet'!$BM$56/12)+(W32*(B32/12))/(W32-1)),1000),C.LOANLIMIT)</f>
        <v>#DIV/0!</v>
      </c>
      <c r="U32" s="193" t="e">
        <f>MIN(_xlfn.FLOOR.MATH((((MaxPMTConv-2)-'Loan Options Sheet'!$CH$54-'Loan Options Sheet'!$CH$55-'Loan Options Sheet'!$CH$57)/((W32*(B32/12))/(W32-1)))/(1+'Loan Options Sheet'!$BM$57),1000),C.LOANLIMIT)</f>
        <v>#DIV/0!</v>
      </c>
      <c r="V32" s="193" t="e">
        <f>MIN(_xlfn.FLOOR.MATH(((MaxPMTConv-2)-'Loan Options Sheet'!$CH$54-'Loan Options Sheet'!$CH$55-'Loan Options Sheet'!$CH$57)/((W32*(B32/12))/(W32-1)),1000),C.LOANLIMIT)</f>
        <v>#DIV/0!</v>
      </c>
      <c r="W32" s="193">
        <f t="shared" si="2"/>
        <v>1</v>
      </c>
    </row>
    <row r="33" spans="4:23" x14ac:dyDescent="0.3">
      <c r="D33" s="188" t="str">
        <f>IF(ISBLANK(B33)," ",IF(Calculator!$G$31=TRUE,_xlfn.FLOOR.MATH(S33/(1-'Loan Options Sheet'!$DD$58),1000),IF(Calculator!$H$31=TRUE,_xlfn.FLOOR.MATH(S33+'Loan Options Sheet'!$DK$58,1000),S33)))</f>
        <v xml:space="preserve"> </v>
      </c>
      <c r="I33" s="188" t="str">
        <f>IF(ISBLANK(G33)," ",IF(Calculator!$G$31=TRUE,_xlfn.FLOOR.MATH(M33/(1-'Loan Options Sheet'!$DD$58),1000),IF(Calculator!$H$31=TRUE,_xlfn.FLOOR.MATH(M33+'Loan Options Sheet'!$DK$58,1000),M33)))</f>
        <v xml:space="preserve"> </v>
      </c>
      <c r="J33" s="188"/>
      <c r="M33" s="193" t="e">
        <f t="shared" si="1"/>
        <v>#DIV/0!</v>
      </c>
      <c r="N33" s="193" t="e" cm="1">
        <f t="array" ref="N33">MIN(_xlfn.FLOOR.MATH(((MaxPMTFHA-2)-'Loan Options Sheet'!$CH$54-'Loan Options Sheet'!$CH$55-'Loan Options Sheet'!$CH$57)/(($Q$1/12)+O33*RATE/(12*(O33-1))),1000),_xlfn.FLOOR.MATH(LOANLIMIT.FHA*1.0175,1000))</f>
        <v>#DIV/0!</v>
      </c>
      <c r="O33" s="193">
        <f t="shared" si="0"/>
        <v>1</v>
      </c>
      <c r="S33" s="193" t="e">
        <f>IF(Calculator!D56=TRUE,T33,IF(Calculator!D57=TRUE,U33,V33))</f>
        <v>#DIV/0!</v>
      </c>
      <c r="T33" s="193" t="e">
        <f>MIN(_xlfn.FLOOR.MATH(((MaxPMTConv-2)-'Loan Options Sheet'!$CH$54-'Loan Options Sheet'!$CH$55-'Loan Options Sheet'!$CH$57)/(('Loan Options Sheet'!$BM$56/12)+(W33*(B33/12))/(W33-1)),1000),C.LOANLIMIT)</f>
        <v>#DIV/0!</v>
      </c>
      <c r="U33" s="193" t="e">
        <f>MIN(_xlfn.FLOOR.MATH((((MaxPMTConv-2)-'Loan Options Sheet'!$CH$54-'Loan Options Sheet'!$CH$55-'Loan Options Sheet'!$CH$57)/((W33*(B33/12))/(W33-1)))/(1+'Loan Options Sheet'!$BM$57),1000),C.LOANLIMIT)</f>
        <v>#DIV/0!</v>
      </c>
      <c r="V33" s="193" t="e">
        <f>MIN(_xlfn.FLOOR.MATH(((MaxPMTConv-2)-'Loan Options Sheet'!$CH$54-'Loan Options Sheet'!$CH$55-'Loan Options Sheet'!$CH$57)/((W33*(B33/12))/(W33-1)),1000),C.LOANLIMIT)</f>
        <v>#DIV/0!</v>
      </c>
      <c r="W33" s="193">
        <f t="shared" si="2"/>
        <v>1</v>
      </c>
    </row>
    <row r="34" spans="4:23" x14ac:dyDescent="0.3">
      <c r="D34" s="188" t="str">
        <f>IF(ISBLANK(B34)," ",IF(Calculator!$G$31=TRUE,_xlfn.FLOOR.MATH(S34/(1-'Loan Options Sheet'!$DD$58),1000),IF(Calculator!$H$31=TRUE,_xlfn.FLOOR.MATH(S34+'Loan Options Sheet'!$DK$58,1000),S34)))</f>
        <v xml:space="preserve"> </v>
      </c>
      <c r="I34" s="188" t="str">
        <f>IF(ISBLANK(G34)," ",IF(Calculator!$G$31=TRUE,_xlfn.FLOOR.MATH(M34/(1-'Loan Options Sheet'!$DD$58),1000),IF(Calculator!$H$31=TRUE,_xlfn.FLOOR.MATH(M34+'Loan Options Sheet'!$DK$58,1000),M34)))</f>
        <v xml:space="preserve"> </v>
      </c>
      <c r="J34" s="188"/>
      <c r="M34" s="193" t="e">
        <f t="shared" si="1"/>
        <v>#DIV/0!</v>
      </c>
      <c r="N34" s="193" t="e" cm="1">
        <f t="array" ref="N34">MIN(_xlfn.FLOOR.MATH(((MaxPMTFHA-2)-'Loan Options Sheet'!$CH$54-'Loan Options Sheet'!$CH$55-'Loan Options Sheet'!$CH$57)/(($Q$1/12)+O34*RATE/(12*(O34-1))),1000),_xlfn.FLOOR.MATH(LOANLIMIT.FHA*1.0175,1000))</f>
        <v>#DIV/0!</v>
      </c>
      <c r="O34" s="193">
        <f t="shared" si="0"/>
        <v>1</v>
      </c>
      <c r="S34" s="193" t="e">
        <f>IF(Calculator!D57=TRUE,T34,IF(Calculator!D58=TRUE,U34,V34))</f>
        <v>#DIV/0!</v>
      </c>
      <c r="T34" s="193" t="e">
        <f>MIN(_xlfn.FLOOR.MATH(((MaxPMTConv-2)-'Loan Options Sheet'!$CH$54-'Loan Options Sheet'!$CH$55-'Loan Options Sheet'!$CH$57)/(('Loan Options Sheet'!$BM$56/12)+(W34*(B34/12))/(W34-1)),1000),C.LOANLIMIT)</f>
        <v>#DIV/0!</v>
      </c>
      <c r="U34" s="193" t="e">
        <f>MIN(_xlfn.FLOOR.MATH((((MaxPMTConv-2)-'Loan Options Sheet'!$CH$54-'Loan Options Sheet'!$CH$55-'Loan Options Sheet'!$CH$57)/((W34*(B34/12))/(W34-1)))/(1+'Loan Options Sheet'!$BM$57),1000),C.LOANLIMIT)</f>
        <v>#DIV/0!</v>
      </c>
      <c r="V34" s="193" t="e">
        <f>MIN(_xlfn.FLOOR.MATH(((MaxPMTConv-2)-'Loan Options Sheet'!$CH$54-'Loan Options Sheet'!$CH$55-'Loan Options Sheet'!$CH$57)/((W34*(B34/12))/(W34-1)),1000),C.LOANLIMIT)</f>
        <v>#DIV/0!</v>
      </c>
      <c r="W34" s="193">
        <f t="shared" si="2"/>
        <v>1</v>
      </c>
    </row>
    <row r="35" spans="4:23" x14ac:dyDescent="0.3">
      <c r="D35" s="188" t="str">
        <f>IF(ISBLANK(B35)," ",IF(Calculator!$G$31=TRUE,_xlfn.FLOOR.MATH(S35/(1-'Loan Options Sheet'!$DD$58),1000),IF(Calculator!$H$31=TRUE,_xlfn.FLOOR.MATH(S35+'Loan Options Sheet'!$DK$58,1000),S35)))</f>
        <v xml:space="preserve"> </v>
      </c>
      <c r="I35" s="188" t="str">
        <f>IF(ISBLANK(G35)," ",IF(Calculator!$G$31=TRUE,_xlfn.FLOOR.MATH(M35/(1-'Loan Options Sheet'!$DD$58),1000),IF(Calculator!$H$31=TRUE,_xlfn.FLOOR.MATH(M35+'Loan Options Sheet'!$DK$58,1000),M35)))</f>
        <v xml:space="preserve"> </v>
      </c>
      <c r="J35" s="188"/>
      <c r="M35" s="193" t="e">
        <f t="shared" si="1"/>
        <v>#DIV/0!</v>
      </c>
      <c r="N35" s="193" t="e" cm="1">
        <f t="array" ref="N35">MIN(_xlfn.FLOOR.MATH(((MaxPMTFHA-2)-'Loan Options Sheet'!$CH$54-'Loan Options Sheet'!$CH$55-'Loan Options Sheet'!$CH$57)/(($Q$1/12)+O35*RATE/(12*(O35-1))),1000),_xlfn.FLOOR.MATH(LOANLIMIT.FHA*1.0175,1000))</f>
        <v>#DIV/0!</v>
      </c>
      <c r="O35" s="193">
        <f t="shared" ref="O35:O55" si="3">(1+G35/12)^360</f>
        <v>1</v>
      </c>
      <c r="S35" s="193" t="e">
        <f>IF(Calculator!D58=TRUE,T35,IF(Calculator!D59=TRUE,U35,V35))</f>
        <v>#DIV/0!</v>
      </c>
      <c r="T35" s="193" t="e">
        <f>MIN(_xlfn.FLOOR.MATH(((MaxPMTConv-2)-'Loan Options Sheet'!$CH$54-'Loan Options Sheet'!$CH$55-'Loan Options Sheet'!$CH$57)/(('Loan Options Sheet'!$BM$56/12)+(W35*(B35/12))/(W35-1)),1000),C.LOANLIMIT)</f>
        <v>#DIV/0!</v>
      </c>
      <c r="U35" s="193" t="e">
        <f>MIN(_xlfn.FLOOR.MATH((((MaxPMTConv-2)-'Loan Options Sheet'!$CH$54-'Loan Options Sheet'!$CH$55-'Loan Options Sheet'!$CH$57)/((W35*(B35/12))/(W35-1)))/(1+'Loan Options Sheet'!$BM$57),1000),C.LOANLIMIT)</f>
        <v>#DIV/0!</v>
      </c>
      <c r="V35" s="193" t="e">
        <f>MIN(_xlfn.FLOOR.MATH(((MaxPMTConv-2)-'Loan Options Sheet'!$CH$54-'Loan Options Sheet'!$CH$55-'Loan Options Sheet'!$CH$57)/((W35*(B35/12))/(W35-1)),1000),C.LOANLIMIT)</f>
        <v>#DIV/0!</v>
      </c>
      <c r="W35" s="193">
        <f t="shared" si="2"/>
        <v>1</v>
      </c>
    </row>
    <row r="36" spans="4:23" x14ac:dyDescent="0.3">
      <c r="D36" s="188" t="str">
        <f>IF(ISBLANK(B36)," ",IF(Calculator!$G$31=TRUE,_xlfn.FLOOR.MATH(S36/(1-'Loan Options Sheet'!$DD$58),1000),IF(Calculator!$H$31=TRUE,_xlfn.FLOOR.MATH(S36+'Loan Options Sheet'!$DK$58,1000),S36)))</f>
        <v xml:space="preserve"> </v>
      </c>
      <c r="I36" s="188" t="str">
        <f>IF(ISBLANK(G36)," ",IF(Calculator!$G$31=TRUE,_xlfn.FLOOR.MATH(M36/(1-'Loan Options Sheet'!$DD$58),1000),IF(Calculator!$H$31=TRUE,_xlfn.FLOOR.MATH(M36+'Loan Options Sheet'!$DK$58,1000),M36)))</f>
        <v xml:space="preserve"> </v>
      </c>
      <c r="J36" s="188"/>
      <c r="M36" s="193" t="e">
        <f t="shared" si="1"/>
        <v>#DIV/0!</v>
      </c>
      <c r="N36" s="193" t="e" cm="1">
        <f t="array" ref="N36">MIN(_xlfn.FLOOR.MATH(((MaxPMTFHA-2)-'Loan Options Sheet'!$CH$54-'Loan Options Sheet'!$CH$55-'Loan Options Sheet'!$CH$57)/(($Q$1/12)+O36*RATE/(12*(O36-1))),1000),_xlfn.FLOOR.MATH(LOANLIMIT.FHA*1.0175,1000))</f>
        <v>#DIV/0!</v>
      </c>
      <c r="O36" s="193">
        <f t="shared" si="3"/>
        <v>1</v>
      </c>
      <c r="S36" s="193" t="e">
        <f>IF(Calculator!D59=TRUE,T36,IF(Calculator!D60=TRUE,U36,V36))</f>
        <v>#DIV/0!</v>
      </c>
      <c r="T36" s="193" t="e">
        <f>MIN(_xlfn.FLOOR.MATH(((MaxPMTConv-2)-'Loan Options Sheet'!$CH$54-'Loan Options Sheet'!$CH$55-'Loan Options Sheet'!$CH$57)/(('Loan Options Sheet'!$BM$56/12)+(W36*(B36/12))/(W36-1)),1000),C.LOANLIMIT)</f>
        <v>#DIV/0!</v>
      </c>
      <c r="U36" s="193" t="e">
        <f>MIN(_xlfn.FLOOR.MATH((((MaxPMTConv-2)-'Loan Options Sheet'!$CH$54-'Loan Options Sheet'!$CH$55-'Loan Options Sheet'!$CH$57)/((W36*(B36/12))/(W36-1)))/(1+'Loan Options Sheet'!$BM$57),1000),C.LOANLIMIT)</f>
        <v>#DIV/0!</v>
      </c>
      <c r="V36" s="193" t="e">
        <f>MIN(_xlfn.FLOOR.MATH(((MaxPMTConv-2)-'Loan Options Sheet'!$CH$54-'Loan Options Sheet'!$CH$55-'Loan Options Sheet'!$CH$57)/((W36*(B36/12))/(W36-1)),1000),C.LOANLIMIT)</f>
        <v>#DIV/0!</v>
      </c>
      <c r="W36" s="193">
        <f t="shared" si="2"/>
        <v>1</v>
      </c>
    </row>
    <row r="37" spans="4:23" x14ac:dyDescent="0.3">
      <c r="D37" s="188" t="str">
        <f>IF(ISBLANK(B37)," ",IF(Calculator!$G$31=TRUE,_xlfn.FLOOR.MATH(S37/(1-'Loan Options Sheet'!$DD$58),1000),IF(Calculator!$H$31=TRUE,_xlfn.FLOOR.MATH(S37+'Loan Options Sheet'!$DK$58,1000),S37)))</f>
        <v xml:space="preserve"> </v>
      </c>
      <c r="I37" s="188" t="str">
        <f>IF(ISBLANK(G37)," ",IF(Calculator!$G$31=TRUE,_xlfn.FLOOR.MATH(M37/(1-'Loan Options Sheet'!$DD$58),1000),IF(Calculator!$H$31=TRUE,_xlfn.FLOOR.MATH(M37+'Loan Options Sheet'!$DK$58,1000),M37)))</f>
        <v xml:space="preserve"> </v>
      </c>
      <c r="J37" s="188"/>
      <c r="M37" s="193" t="e">
        <f t="shared" si="1"/>
        <v>#DIV/0!</v>
      </c>
      <c r="N37" s="193" t="e" cm="1">
        <f t="array" ref="N37">MIN(_xlfn.FLOOR.MATH(((MaxPMTFHA-2)-'Loan Options Sheet'!$CH$54-'Loan Options Sheet'!$CH$55-'Loan Options Sheet'!$CH$57)/(($Q$1/12)+O37*RATE/(12*(O37-1))),1000),_xlfn.FLOOR.MATH(LOANLIMIT.FHA*1.0175,1000))</f>
        <v>#DIV/0!</v>
      </c>
      <c r="O37" s="193">
        <f t="shared" si="3"/>
        <v>1</v>
      </c>
      <c r="S37" s="193" t="e">
        <f>IF(Calculator!D60=TRUE,T37,IF(Calculator!D61=TRUE,U37,V37))</f>
        <v>#DIV/0!</v>
      </c>
      <c r="T37" s="193" t="e">
        <f>MIN(_xlfn.FLOOR.MATH(((MaxPMTConv-2)-'Loan Options Sheet'!$CH$54-'Loan Options Sheet'!$CH$55-'Loan Options Sheet'!$CH$57)/(('Loan Options Sheet'!$BM$56/12)+(W37*(B37/12))/(W37-1)),1000),C.LOANLIMIT)</f>
        <v>#DIV/0!</v>
      </c>
      <c r="U37" s="193" t="e">
        <f>MIN(_xlfn.FLOOR.MATH((((MaxPMTConv-2)-'Loan Options Sheet'!$CH$54-'Loan Options Sheet'!$CH$55-'Loan Options Sheet'!$CH$57)/((W37*(B37/12))/(W37-1)))/(1+'Loan Options Sheet'!$BM$57),1000),C.LOANLIMIT)</f>
        <v>#DIV/0!</v>
      </c>
      <c r="V37" s="193" t="e">
        <f>MIN(_xlfn.FLOOR.MATH(((MaxPMTConv-2)-'Loan Options Sheet'!$CH$54-'Loan Options Sheet'!$CH$55-'Loan Options Sheet'!$CH$57)/((W37*(B37/12))/(W37-1)),1000),C.LOANLIMIT)</f>
        <v>#DIV/0!</v>
      </c>
      <c r="W37" s="193">
        <f t="shared" si="2"/>
        <v>1</v>
      </c>
    </row>
    <row r="38" spans="4:23" x14ac:dyDescent="0.3">
      <c r="D38" s="188" t="str">
        <f>IF(ISBLANK(B38)," ",IF(Calculator!$G$31=TRUE,_xlfn.FLOOR.MATH(S38/(1-'Loan Options Sheet'!$DD$58),1000),IF(Calculator!$H$31=TRUE,_xlfn.FLOOR.MATH(S38+'Loan Options Sheet'!$DK$58,1000),S38)))</f>
        <v xml:space="preserve"> </v>
      </c>
      <c r="I38" s="188" t="str">
        <f>IF(ISBLANK(G38)," ",IF(Calculator!$G$31=TRUE,_xlfn.FLOOR.MATH(M38/(1-'Loan Options Sheet'!$DD$58),1000),IF(Calculator!$H$31=TRUE,_xlfn.FLOOR.MATH(M38+'Loan Options Sheet'!$DK$58,1000),M38)))</f>
        <v xml:space="preserve"> </v>
      </c>
      <c r="J38" s="188"/>
      <c r="M38" s="193" t="e">
        <f t="shared" si="1"/>
        <v>#DIV/0!</v>
      </c>
      <c r="N38" s="193" t="e" cm="1">
        <f t="array" ref="N38">MIN(_xlfn.FLOOR.MATH(((MaxPMTFHA-2)-'Loan Options Sheet'!$CH$54-'Loan Options Sheet'!$CH$55-'Loan Options Sheet'!$CH$57)/(($Q$1/12)+O38*RATE/(12*(O38-1))),1000),_xlfn.FLOOR.MATH(LOANLIMIT.FHA*1.0175,1000))</f>
        <v>#DIV/0!</v>
      </c>
      <c r="O38" s="193">
        <f t="shared" si="3"/>
        <v>1</v>
      </c>
      <c r="S38" s="193" t="e">
        <f>IF(Calculator!D61=TRUE,T38,IF(Calculator!D62=TRUE,U38,V38))</f>
        <v>#DIV/0!</v>
      </c>
      <c r="T38" s="193" t="e">
        <f>MIN(_xlfn.FLOOR.MATH(((MaxPMTConv-2)-'Loan Options Sheet'!$CH$54-'Loan Options Sheet'!$CH$55-'Loan Options Sheet'!$CH$57)/(('Loan Options Sheet'!$BM$56/12)+(W38*(B38/12))/(W38-1)),1000),C.LOANLIMIT)</f>
        <v>#DIV/0!</v>
      </c>
      <c r="U38" s="193" t="e">
        <f>MIN(_xlfn.FLOOR.MATH((((MaxPMTConv-2)-'Loan Options Sheet'!$CH$54-'Loan Options Sheet'!$CH$55-'Loan Options Sheet'!$CH$57)/((W38*(B38/12))/(W38-1)))/(1+'Loan Options Sheet'!$BM$57),1000),C.LOANLIMIT)</f>
        <v>#DIV/0!</v>
      </c>
      <c r="V38" s="193" t="e">
        <f>MIN(_xlfn.FLOOR.MATH(((MaxPMTConv-2)-'Loan Options Sheet'!$CH$54-'Loan Options Sheet'!$CH$55-'Loan Options Sheet'!$CH$57)/((W38*(B38/12))/(W38-1)),1000),C.LOANLIMIT)</f>
        <v>#DIV/0!</v>
      </c>
      <c r="W38" s="193">
        <f t="shared" si="2"/>
        <v>1</v>
      </c>
    </row>
    <row r="39" spans="4:23" x14ac:dyDescent="0.3">
      <c r="D39" s="188" t="str">
        <f>IF(ISBLANK(B39)," ",IF(Calculator!$G$31=TRUE,_xlfn.FLOOR.MATH(S39/(1-'Loan Options Sheet'!$DD$58),1000),IF(Calculator!$H$31=TRUE,_xlfn.FLOOR.MATH(S39+'Loan Options Sheet'!$DK$58,1000),S39)))</f>
        <v xml:space="preserve"> </v>
      </c>
      <c r="I39" s="188" t="str">
        <f>IF(ISBLANK(G39)," ",IF(Calculator!$G$31=TRUE,_xlfn.FLOOR.MATH(M39/(1-'Loan Options Sheet'!$DD$58),1000),IF(Calculator!$H$31=TRUE,_xlfn.FLOOR.MATH(M39+'Loan Options Sheet'!$DK$58,1000),M39)))</f>
        <v xml:space="preserve"> </v>
      </c>
      <c r="J39" s="188"/>
      <c r="M39" s="193" t="e">
        <f t="shared" si="1"/>
        <v>#DIV/0!</v>
      </c>
      <c r="N39" s="193" t="e" cm="1">
        <f t="array" ref="N39">MIN(_xlfn.FLOOR.MATH(((MaxPMTFHA-2)-'Loan Options Sheet'!$CH$54-'Loan Options Sheet'!$CH$55-'Loan Options Sheet'!$CH$57)/(($Q$1/12)+O39*RATE/(12*(O39-1))),1000),_xlfn.FLOOR.MATH(LOANLIMIT.FHA*1.0175,1000))</f>
        <v>#DIV/0!</v>
      </c>
      <c r="O39" s="193">
        <f t="shared" si="3"/>
        <v>1</v>
      </c>
      <c r="S39" s="193" t="e">
        <f>IF(Calculator!D62=TRUE,T39,IF(Calculator!D63=TRUE,U39,V39))</f>
        <v>#DIV/0!</v>
      </c>
      <c r="T39" s="193" t="e">
        <f>MIN(_xlfn.FLOOR.MATH(((MaxPMTConv-2)-'Loan Options Sheet'!$CH$54-'Loan Options Sheet'!$CH$55-'Loan Options Sheet'!$CH$57)/(('Loan Options Sheet'!$BM$56/12)+(W39*(B39/12))/(W39-1)),1000),C.LOANLIMIT)</f>
        <v>#DIV/0!</v>
      </c>
      <c r="U39" s="193" t="e">
        <f>MIN(_xlfn.FLOOR.MATH((((MaxPMTConv-2)-'Loan Options Sheet'!$CH$54-'Loan Options Sheet'!$CH$55-'Loan Options Sheet'!$CH$57)/((W39*(B39/12))/(W39-1)))/(1+'Loan Options Sheet'!$BM$57),1000),C.LOANLIMIT)</f>
        <v>#DIV/0!</v>
      </c>
      <c r="V39" s="193" t="e">
        <f>MIN(_xlfn.FLOOR.MATH(((MaxPMTConv-2)-'Loan Options Sheet'!$CH$54-'Loan Options Sheet'!$CH$55-'Loan Options Sheet'!$CH$57)/((W39*(B39/12))/(W39-1)),1000),C.LOANLIMIT)</f>
        <v>#DIV/0!</v>
      </c>
      <c r="W39" s="193">
        <f t="shared" si="2"/>
        <v>1</v>
      </c>
    </row>
    <row r="40" spans="4:23" x14ac:dyDescent="0.3">
      <c r="D40" s="188" t="str">
        <f>IF(ISBLANK(B40)," ",IF(Calculator!$G$31=TRUE,_xlfn.FLOOR.MATH(S40/(1-'Loan Options Sheet'!$DD$58),1000),IF(Calculator!$H$31=TRUE,_xlfn.FLOOR.MATH(S40+'Loan Options Sheet'!$DK$58,1000),S40)))</f>
        <v xml:space="preserve"> </v>
      </c>
      <c r="I40" s="188" t="str">
        <f>IF(ISBLANK(G40)," ",IF(Calculator!$G$31=TRUE,_xlfn.FLOOR.MATH(M40/(1-'Loan Options Sheet'!$DD$58),1000),IF(Calculator!$H$31=TRUE,_xlfn.FLOOR.MATH(M40+'Loan Options Sheet'!$DK$58,1000),M40)))</f>
        <v xml:space="preserve"> </v>
      </c>
      <c r="J40" s="188"/>
      <c r="M40" s="193" t="e">
        <f t="shared" si="1"/>
        <v>#DIV/0!</v>
      </c>
      <c r="N40" s="193" t="e" cm="1">
        <f t="array" ref="N40">MIN(_xlfn.FLOOR.MATH(((MaxPMTFHA-2)-'Loan Options Sheet'!$CH$54-'Loan Options Sheet'!$CH$55-'Loan Options Sheet'!$CH$57)/(($Q$1/12)+O40*RATE/(12*(O40-1))),1000),_xlfn.FLOOR.MATH(LOANLIMIT.FHA*1.0175,1000))</f>
        <v>#DIV/0!</v>
      </c>
      <c r="O40" s="193">
        <f t="shared" si="3"/>
        <v>1</v>
      </c>
      <c r="S40" s="193" t="e">
        <f>IF(Calculator!D63=TRUE,T40,IF(Calculator!D64=TRUE,U40,V40))</f>
        <v>#DIV/0!</v>
      </c>
      <c r="T40" s="193" t="e">
        <f>MIN(_xlfn.FLOOR.MATH(((MaxPMTConv-2)-'Loan Options Sheet'!$CH$54-'Loan Options Sheet'!$CH$55-'Loan Options Sheet'!$CH$57)/(('Loan Options Sheet'!$BM$56/12)+(W40*(B40/12))/(W40-1)),1000),C.LOANLIMIT)</f>
        <v>#DIV/0!</v>
      </c>
      <c r="U40" s="193" t="e">
        <f>MIN(_xlfn.FLOOR.MATH((((MaxPMTConv-2)-'Loan Options Sheet'!$CH$54-'Loan Options Sheet'!$CH$55-'Loan Options Sheet'!$CH$57)/((W40*(B40/12))/(W40-1)))/(1+'Loan Options Sheet'!$BM$57),1000),C.LOANLIMIT)</f>
        <v>#DIV/0!</v>
      </c>
      <c r="V40" s="193" t="e">
        <f>MIN(_xlfn.FLOOR.MATH(((MaxPMTConv-2)-'Loan Options Sheet'!$CH$54-'Loan Options Sheet'!$CH$55-'Loan Options Sheet'!$CH$57)/((W40*(B40/12))/(W40-1)),1000),C.LOANLIMIT)</f>
        <v>#DIV/0!</v>
      </c>
      <c r="W40" s="193">
        <f t="shared" si="2"/>
        <v>1</v>
      </c>
    </row>
    <row r="41" spans="4:23" x14ac:dyDescent="0.3">
      <c r="D41" s="188" t="str">
        <f>IF(ISBLANK(B41)," ",IF(Calculator!$G$31=TRUE,_xlfn.FLOOR.MATH(S41/(1-'Loan Options Sheet'!$DD$58),1000),IF(Calculator!$H$31=TRUE,_xlfn.FLOOR.MATH(S41+'Loan Options Sheet'!$DK$58,1000),S41)))</f>
        <v xml:space="preserve"> </v>
      </c>
      <c r="I41" s="188" t="str">
        <f>IF(ISBLANK(G41)," ",IF(Calculator!$G$31=TRUE,_xlfn.FLOOR.MATH(M41/(1-'Loan Options Sheet'!$DD$58),1000),IF(Calculator!$H$31=TRUE,_xlfn.FLOOR.MATH(M41+'Loan Options Sheet'!$DK$58,1000),M41)))</f>
        <v xml:space="preserve"> </v>
      </c>
      <c r="J41" s="188"/>
      <c r="M41" s="193" t="e">
        <f t="shared" si="1"/>
        <v>#DIV/0!</v>
      </c>
      <c r="N41" s="193" t="e" cm="1">
        <f t="array" ref="N41">MIN(_xlfn.FLOOR.MATH(((MaxPMTFHA-2)-'Loan Options Sheet'!$CH$54-'Loan Options Sheet'!$CH$55-'Loan Options Sheet'!$CH$57)/(($Q$1/12)+O41*RATE/(12*(O41-1))),1000),_xlfn.FLOOR.MATH(LOANLIMIT.FHA*1.0175,1000))</f>
        <v>#DIV/0!</v>
      </c>
      <c r="O41" s="193">
        <f t="shared" si="3"/>
        <v>1</v>
      </c>
      <c r="S41" s="193" t="e">
        <f>IF(Calculator!D64=TRUE,T41,IF(Calculator!D65=TRUE,U41,V41))</f>
        <v>#DIV/0!</v>
      </c>
      <c r="T41" s="193" t="e">
        <f>MIN(_xlfn.FLOOR.MATH(((MaxPMTConv-2)-'Loan Options Sheet'!$CH$54-'Loan Options Sheet'!$CH$55-'Loan Options Sheet'!$CH$57)/(('Loan Options Sheet'!$BM$56/12)+(W41*(B41/12))/(W41-1)),1000),C.LOANLIMIT)</f>
        <v>#DIV/0!</v>
      </c>
      <c r="U41" s="193" t="e">
        <f>MIN(_xlfn.FLOOR.MATH((((MaxPMTConv-2)-'Loan Options Sheet'!$CH$54-'Loan Options Sheet'!$CH$55-'Loan Options Sheet'!$CH$57)/((W41*(B41/12))/(W41-1)))/(1+'Loan Options Sheet'!$BM$57),1000),C.LOANLIMIT)</f>
        <v>#DIV/0!</v>
      </c>
      <c r="V41" s="193" t="e">
        <f>MIN(_xlfn.FLOOR.MATH(((MaxPMTConv-2)-'Loan Options Sheet'!$CH$54-'Loan Options Sheet'!$CH$55-'Loan Options Sheet'!$CH$57)/((W41*(B41/12))/(W41-1)),1000),C.LOANLIMIT)</f>
        <v>#DIV/0!</v>
      </c>
      <c r="W41" s="193">
        <f t="shared" si="2"/>
        <v>1</v>
      </c>
    </row>
    <row r="42" spans="4:23" x14ac:dyDescent="0.3">
      <c r="D42" s="188" t="str">
        <f>IF(ISBLANK(B42)," ",IF(Calculator!$G$31=TRUE,_xlfn.FLOOR.MATH(S42/(1-'Loan Options Sheet'!$DD$58),1000),IF(Calculator!$H$31=TRUE,_xlfn.FLOOR.MATH(S42+'Loan Options Sheet'!$DK$58,1000),S42)))</f>
        <v xml:space="preserve"> </v>
      </c>
      <c r="I42" s="188" t="str">
        <f>IF(ISBLANK(G42)," ",IF(Calculator!$G$31=TRUE,_xlfn.FLOOR.MATH(M42/(1-'Loan Options Sheet'!$DD$58),1000),IF(Calculator!$H$31=TRUE,_xlfn.FLOOR.MATH(M42+'Loan Options Sheet'!$DK$58,1000),M42)))</f>
        <v xml:space="preserve"> </v>
      </c>
      <c r="J42" s="188"/>
      <c r="M42" s="193" t="e">
        <f t="shared" si="1"/>
        <v>#DIV/0!</v>
      </c>
      <c r="N42" s="193" t="e" cm="1">
        <f t="array" ref="N42">MIN(_xlfn.FLOOR.MATH(((MaxPMTFHA-2)-'Loan Options Sheet'!$CH$54-'Loan Options Sheet'!$CH$55-'Loan Options Sheet'!$CH$57)/(($Q$1/12)+O42*RATE/(12*(O42-1))),1000),_xlfn.FLOOR.MATH(LOANLIMIT.FHA*1.0175,1000))</f>
        <v>#DIV/0!</v>
      </c>
      <c r="O42" s="193">
        <f t="shared" si="3"/>
        <v>1</v>
      </c>
      <c r="S42" s="193" t="e">
        <f>IF(Calculator!D65=TRUE,T42,IF(Calculator!D66=TRUE,U42,V42))</f>
        <v>#DIV/0!</v>
      </c>
      <c r="T42" s="193" t="e">
        <f>MIN(_xlfn.FLOOR.MATH(((MaxPMTConv-2)-'Loan Options Sheet'!$CH$54-'Loan Options Sheet'!$CH$55-'Loan Options Sheet'!$CH$57)/(('Loan Options Sheet'!$BM$56/12)+(W42*(B42/12))/(W42-1)),1000),C.LOANLIMIT)</f>
        <v>#DIV/0!</v>
      </c>
      <c r="U42" s="193" t="e">
        <f>MIN(_xlfn.FLOOR.MATH((((MaxPMTConv-2)-'Loan Options Sheet'!$CH$54-'Loan Options Sheet'!$CH$55-'Loan Options Sheet'!$CH$57)/((W42*(B42/12))/(W42-1)))/(1+'Loan Options Sheet'!$BM$57),1000),C.LOANLIMIT)</f>
        <v>#DIV/0!</v>
      </c>
      <c r="V42" s="193" t="e">
        <f>MIN(_xlfn.FLOOR.MATH(((MaxPMTConv-2)-'Loan Options Sheet'!$CH$54-'Loan Options Sheet'!$CH$55-'Loan Options Sheet'!$CH$57)/((W42*(B42/12))/(W42-1)),1000),C.LOANLIMIT)</f>
        <v>#DIV/0!</v>
      </c>
      <c r="W42" s="193">
        <f t="shared" si="2"/>
        <v>1</v>
      </c>
    </row>
    <row r="43" spans="4:23" x14ac:dyDescent="0.3">
      <c r="D43" s="188" t="str">
        <f>IF(ISBLANK(B43)," ",IF(Calculator!$G$31=TRUE,_xlfn.FLOOR.MATH(S43/(1-'Loan Options Sheet'!$DD$58),1000),IF(Calculator!$H$31=TRUE,_xlfn.FLOOR.MATH(S43+'Loan Options Sheet'!$DK$58,1000),S43)))</f>
        <v xml:space="preserve"> </v>
      </c>
      <c r="I43" s="188" t="str">
        <f>IF(ISBLANK(G43)," ",IF(Calculator!$G$31=TRUE,_xlfn.FLOOR.MATH(M43/(1-'Loan Options Sheet'!$DD$58),1000),IF(Calculator!$H$31=TRUE,_xlfn.FLOOR.MATH(M43+'Loan Options Sheet'!$DK$58,1000),M43)))</f>
        <v xml:space="preserve"> </v>
      </c>
      <c r="J43" s="188"/>
      <c r="M43" s="193" t="e">
        <f t="shared" si="1"/>
        <v>#DIV/0!</v>
      </c>
      <c r="N43" s="193" t="e" cm="1">
        <f t="array" ref="N43">MIN(_xlfn.FLOOR.MATH(((MaxPMTFHA-2)-'Loan Options Sheet'!$CH$54-'Loan Options Sheet'!$CH$55-'Loan Options Sheet'!$CH$57)/(($Q$1/12)+O43*RATE/(12*(O43-1))),1000),_xlfn.FLOOR.MATH(LOANLIMIT.FHA*1.0175,1000))</f>
        <v>#DIV/0!</v>
      </c>
      <c r="O43" s="193">
        <f t="shared" si="3"/>
        <v>1</v>
      </c>
      <c r="S43" s="193" t="e">
        <f>IF(Calculator!D66=TRUE,T43,IF(Calculator!D67=TRUE,U43,V43))</f>
        <v>#DIV/0!</v>
      </c>
      <c r="T43" s="193" t="e">
        <f>MIN(_xlfn.FLOOR.MATH(((MaxPMTConv-2)-'Loan Options Sheet'!$CH$54-'Loan Options Sheet'!$CH$55-'Loan Options Sheet'!$CH$57)/(('Loan Options Sheet'!$BM$56/12)+(W43*(B43/12))/(W43-1)),1000),C.LOANLIMIT)</f>
        <v>#DIV/0!</v>
      </c>
      <c r="U43" s="193" t="e">
        <f>MIN(_xlfn.FLOOR.MATH((((MaxPMTConv-2)-'Loan Options Sheet'!$CH$54-'Loan Options Sheet'!$CH$55-'Loan Options Sheet'!$CH$57)/((W43*(B43/12))/(W43-1)))/(1+'Loan Options Sheet'!$BM$57),1000),C.LOANLIMIT)</f>
        <v>#DIV/0!</v>
      </c>
      <c r="V43" s="193" t="e">
        <f>MIN(_xlfn.FLOOR.MATH(((MaxPMTConv-2)-'Loan Options Sheet'!$CH$54-'Loan Options Sheet'!$CH$55-'Loan Options Sheet'!$CH$57)/((W43*(B43/12))/(W43-1)),1000),C.LOANLIMIT)</f>
        <v>#DIV/0!</v>
      </c>
      <c r="W43" s="193">
        <f t="shared" si="2"/>
        <v>1</v>
      </c>
    </row>
    <row r="44" spans="4:23" x14ac:dyDescent="0.3">
      <c r="D44" s="188" t="str">
        <f>IF(ISBLANK(B44)," ",IF(Calculator!$G$31=TRUE,_xlfn.FLOOR.MATH(S44/(1-'Loan Options Sheet'!$DD$58),1000),IF(Calculator!$H$31=TRUE,_xlfn.FLOOR.MATH(S44+'Loan Options Sheet'!$DK$58,1000),S44)))</f>
        <v xml:space="preserve"> </v>
      </c>
      <c r="I44" s="188" t="str">
        <f>IF(ISBLANK(G44)," ",IF(Calculator!$G$31=TRUE,_xlfn.FLOOR.MATH(M44/(1-'Loan Options Sheet'!$DD$58),1000),IF(Calculator!$H$31=TRUE,_xlfn.FLOOR.MATH(M44+'Loan Options Sheet'!$DK$58,1000),M44)))</f>
        <v xml:space="preserve"> </v>
      </c>
      <c r="J44" s="188"/>
      <c r="M44" s="193" t="e">
        <f t="shared" si="1"/>
        <v>#DIV/0!</v>
      </c>
      <c r="N44" s="193" t="e" cm="1">
        <f t="array" ref="N44">MIN(_xlfn.FLOOR.MATH(((MaxPMTFHA-2)-'Loan Options Sheet'!$CH$54-'Loan Options Sheet'!$CH$55-'Loan Options Sheet'!$CH$57)/(($Q$1/12)+O44*RATE/(12*(O44-1))),1000),_xlfn.FLOOR.MATH(LOANLIMIT.FHA*1.0175,1000))</f>
        <v>#DIV/0!</v>
      </c>
      <c r="O44" s="193">
        <f t="shared" si="3"/>
        <v>1</v>
      </c>
      <c r="S44" s="193" t="e">
        <f>IF(Calculator!D67=TRUE,T44,IF(Calculator!D68=TRUE,U44,V44))</f>
        <v>#DIV/0!</v>
      </c>
      <c r="T44" s="193" t="e">
        <f>MIN(_xlfn.FLOOR.MATH(((MaxPMTConv-2)-'Loan Options Sheet'!$CH$54-'Loan Options Sheet'!$CH$55-'Loan Options Sheet'!$CH$57)/(('Loan Options Sheet'!$BM$56/12)+(W44*(B44/12))/(W44-1)),1000),C.LOANLIMIT)</f>
        <v>#DIV/0!</v>
      </c>
      <c r="U44" s="193" t="e">
        <f>MIN(_xlfn.FLOOR.MATH((((MaxPMTConv-2)-'Loan Options Sheet'!$CH$54-'Loan Options Sheet'!$CH$55-'Loan Options Sheet'!$CH$57)/((W44*(B44/12))/(W44-1)))/(1+'Loan Options Sheet'!$BM$57),1000),C.LOANLIMIT)</f>
        <v>#DIV/0!</v>
      </c>
      <c r="V44" s="193" t="e">
        <f>MIN(_xlfn.FLOOR.MATH(((MaxPMTConv-2)-'Loan Options Sheet'!$CH$54-'Loan Options Sheet'!$CH$55-'Loan Options Sheet'!$CH$57)/((W44*(B44/12))/(W44-1)),1000),C.LOANLIMIT)</f>
        <v>#DIV/0!</v>
      </c>
      <c r="W44" s="193">
        <f t="shared" si="2"/>
        <v>1</v>
      </c>
    </row>
    <row r="45" spans="4:23" x14ac:dyDescent="0.3">
      <c r="D45" s="188" t="str">
        <f>IF(ISBLANK(B45)," ",IF(Calculator!$G$31=TRUE,_xlfn.FLOOR.MATH(S45/(1-'Loan Options Sheet'!$DD$58),1000),IF(Calculator!$H$31=TRUE,_xlfn.FLOOR.MATH(S45+'Loan Options Sheet'!$DK$58,1000),S45)))</f>
        <v xml:space="preserve"> </v>
      </c>
      <c r="I45" s="188" t="str">
        <f>IF(ISBLANK(G45)," ",IF(Calculator!$G$31=TRUE,_xlfn.FLOOR.MATH(M45/(1-'Loan Options Sheet'!$DD$58),1000),IF(Calculator!$H$31=TRUE,_xlfn.FLOOR.MATH(M45+'Loan Options Sheet'!$DK$58,1000),M45)))</f>
        <v xml:space="preserve"> </v>
      </c>
      <c r="J45" s="188"/>
      <c r="M45" s="193" t="e">
        <f t="shared" si="1"/>
        <v>#DIV/0!</v>
      </c>
      <c r="N45" s="193" t="e" cm="1">
        <f t="array" ref="N45">MIN(_xlfn.FLOOR.MATH(((MaxPMTFHA-2)-'Loan Options Sheet'!$CH$54-'Loan Options Sheet'!$CH$55-'Loan Options Sheet'!$CH$57)/(($Q$1/12)+O45*RATE/(12*(O45-1))),1000),_xlfn.FLOOR.MATH(LOANLIMIT.FHA*1.0175,1000))</f>
        <v>#DIV/0!</v>
      </c>
      <c r="O45" s="193">
        <f t="shared" si="3"/>
        <v>1</v>
      </c>
      <c r="S45" s="193" t="e">
        <f>IF(Calculator!D68=TRUE,T45,IF(Calculator!D69=TRUE,U45,V45))</f>
        <v>#DIV/0!</v>
      </c>
      <c r="T45" s="193" t="e">
        <f>MIN(_xlfn.FLOOR.MATH(((MaxPMTConv-2)-'Loan Options Sheet'!$CH$54-'Loan Options Sheet'!$CH$55-'Loan Options Sheet'!$CH$57)/(('Loan Options Sheet'!$BM$56/12)+(W45*(B45/12))/(W45-1)),1000),C.LOANLIMIT)</f>
        <v>#DIV/0!</v>
      </c>
      <c r="U45" s="193" t="e">
        <f>MIN(_xlfn.FLOOR.MATH((((MaxPMTConv-2)-'Loan Options Sheet'!$CH$54-'Loan Options Sheet'!$CH$55-'Loan Options Sheet'!$CH$57)/((W45*(B45/12))/(W45-1)))/(1+'Loan Options Sheet'!$BM$57),1000),C.LOANLIMIT)</f>
        <v>#DIV/0!</v>
      </c>
      <c r="V45" s="193" t="e">
        <f>MIN(_xlfn.FLOOR.MATH(((MaxPMTConv-2)-'Loan Options Sheet'!$CH$54-'Loan Options Sheet'!$CH$55-'Loan Options Sheet'!$CH$57)/((W45*(B45/12))/(W45-1)),1000),C.LOANLIMIT)</f>
        <v>#DIV/0!</v>
      </c>
      <c r="W45" s="193">
        <f t="shared" si="2"/>
        <v>1</v>
      </c>
    </row>
    <row r="46" spans="4:23" x14ac:dyDescent="0.3">
      <c r="D46" s="188" t="str">
        <f>IF(ISBLANK(B46)," ",IF(Calculator!$G$31=TRUE,_xlfn.FLOOR.MATH(S46/(1-'Loan Options Sheet'!$DD$58),1000),IF(Calculator!$H$31=TRUE,_xlfn.FLOOR.MATH(S46+'Loan Options Sheet'!$DK$58,1000),S46)))</f>
        <v xml:space="preserve"> </v>
      </c>
      <c r="I46" s="188" t="str">
        <f>IF(ISBLANK(G46)," ",IF(Calculator!$G$31=TRUE,_xlfn.FLOOR.MATH(M46/(1-'Loan Options Sheet'!$DD$58),1000),IF(Calculator!$H$31=TRUE,_xlfn.FLOOR.MATH(M46+'Loan Options Sheet'!$DK$58,1000),M46)))</f>
        <v xml:space="preserve"> </v>
      </c>
      <c r="J46" s="188"/>
      <c r="M46" s="193" t="e">
        <f t="shared" si="1"/>
        <v>#DIV/0!</v>
      </c>
      <c r="N46" s="193" t="e" cm="1">
        <f t="array" ref="N46">MIN(_xlfn.FLOOR.MATH(((MaxPMTFHA-2)-'Loan Options Sheet'!$CH$54-'Loan Options Sheet'!$CH$55-'Loan Options Sheet'!$CH$57)/(($Q$1/12)+O46*RATE/(12*(O46-1))),1000),_xlfn.FLOOR.MATH(LOANLIMIT.FHA*1.0175,1000))</f>
        <v>#DIV/0!</v>
      </c>
      <c r="O46" s="193">
        <f t="shared" si="3"/>
        <v>1</v>
      </c>
      <c r="S46" s="193" t="e">
        <f>IF(Calculator!D69=TRUE,T46,IF(Calculator!D70=TRUE,U46,V46))</f>
        <v>#DIV/0!</v>
      </c>
      <c r="T46" s="193" t="e">
        <f>MIN(_xlfn.FLOOR.MATH(((MaxPMTConv-2)-'Loan Options Sheet'!$CH$54-'Loan Options Sheet'!$CH$55-'Loan Options Sheet'!$CH$57)/(('Loan Options Sheet'!$BM$56/12)+(W46*(B46/12))/(W46-1)),1000),C.LOANLIMIT)</f>
        <v>#DIV/0!</v>
      </c>
      <c r="U46" s="193" t="e">
        <f>MIN(_xlfn.FLOOR.MATH((((MaxPMTConv-2)-'Loan Options Sheet'!$CH$54-'Loan Options Sheet'!$CH$55-'Loan Options Sheet'!$CH$57)/((W46*(B46/12))/(W46-1)))/(1+'Loan Options Sheet'!$BM$57),1000),C.LOANLIMIT)</f>
        <v>#DIV/0!</v>
      </c>
      <c r="V46" s="193" t="e">
        <f>MIN(_xlfn.FLOOR.MATH(((MaxPMTConv-2)-'Loan Options Sheet'!$CH$54-'Loan Options Sheet'!$CH$55-'Loan Options Sheet'!$CH$57)/((W46*(B46/12))/(W46-1)),1000),C.LOANLIMIT)</f>
        <v>#DIV/0!</v>
      </c>
      <c r="W46" s="193">
        <f t="shared" si="2"/>
        <v>1</v>
      </c>
    </row>
    <row r="47" spans="4:23" x14ac:dyDescent="0.3">
      <c r="D47" s="188" t="str">
        <f>IF(ISBLANK(B47)," ",IF(Calculator!$G$31=TRUE,_xlfn.FLOOR.MATH(S47/(1-'Loan Options Sheet'!$DD$58),1000),IF(Calculator!$H$31=TRUE,_xlfn.FLOOR.MATH(S47+'Loan Options Sheet'!$DK$58,1000),S47)))</f>
        <v xml:space="preserve"> </v>
      </c>
      <c r="I47" s="188" t="str">
        <f>IF(ISBLANK(G47)," ",IF(Calculator!$G$31=TRUE,_xlfn.FLOOR.MATH(M47/(1-'Loan Options Sheet'!$DD$58),1000),IF(Calculator!$H$31=TRUE,_xlfn.FLOOR.MATH(M47+'Loan Options Sheet'!$DK$58,1000),M47)))</f>
        <v xml:space="preserve"> </v>
      </c>
      <c r="J47" s="188"/>
      <c r="M47" s="193" t="e">
        <f t="shared" si="1"/>
        <v>#DIV/0!</v>
      </c>
      <c r="N47" s="193" t="e" cm="1">
        <f t="array" ref="N47">MIN(_xlfn.FLOOR.MATH(((MaxPMTFHA-2)-'Loan Options Sheet'!$CH$54-'Loan Options Sheet'!$CH$55-'Loan Options Sheet'!$CH$57)/(($Q$1/12)+O47*RATE/(12*(O47-1))),1000),_xlfn.FLOOR.MATH(LOANLIMIT.FHA*1.0175,1000))</f>
        <v>#DIV/0!</v>
      </c>
      <c r="O47" s="193">
        <f t="shared" si="3"/>
        <v>1</v>
      </c>
      <c r="S47" s="193" t="e">
        <f>IF(Calculator!D70=TRUE,T47,IF(Calculator!D71=TRUE,U47,V47))</f>
        <v>#DIV/0!</v>
      </c>
      <c r="T47" s="193" t="e">
        <f>MIN(_xlfn.FLOOR.MATH(((MaxPMTConv-2)-'Loan Options Sheet'!$CH$54-'Loan Options Sheet'!$CH$55-'Loan Options Sheet'!$CH$57)/(('Loan Options Sheet'!$BM$56/12)+(W47*(B47/12))/(W47-1)),1000),C.LOANLIMIT)</f>
        <v>#DIV/0!</v>
      </c>
      <c r="U47" s="193" t="e">
        <f>MIN(_xlfn.FLOOR.MATH((((MaxPMTConv-2)-'Loan Options Sheet'!$CH$54-'Loan Options Sheet'!$CH$55-'Loan Options Sheet'!$CH$57)/((W47*(B47/12))/(W47-1)))/(1+'Loan Options Sheet'!$BM$57),1000),C.LOANLIMIT)</f>
        <v>#DIV/0!</v>
      </c>
      <c r="V47" s="193" t="e">
        <f>MIN(_xlfn.FLOOR.MATH(((MaxPMTConv-2)-'Loan Options Sheet'!$CH$54-'Loan Options Sheet'!$CH$55-'Loan Options Sheet'!$CH$57)/((W47*(B47/12))/(W47-1)),1000),C.LOANLIMIT)</f>
        <v>#DIV/0!</v>
      </c>
      <c r="W47" s="193">
        <f t="shared" si="2"/>
        <v>1</v>
      </c>
    </row>
    <row r="48" spans="4:23" x14ac:dyDescent="0.3">
      <c r="D48" s="188" t="str">
        <f>IF(ISBLANK(B48)," ",IF(Calculator!$G$31=TRUE,_xlfn.FLOOR.MATH(S48/(1-'Loan Options Sheet'!$DD$58),1000),IF(Calculator!$H$31=TRUE,_xlfn.FLOOR.MATH(S48+'Loan Options Sheet'!$DK$58,1000),S48)))</f>
        <v xml:space="preserve"> </v>
      </c>
      <c r="I48" s="188" t="str">
        <f>IF(ISBLANK(G48)," ",IF(Calculator!$G$31=TRUE,_xlfn.FLOOR.MATH(M48/(1-'Loan Options Sheet'!$DD$58),1000),IF(Calculator!$H$31=TRUE,_xlfn.FLOOR.MATH(M48+'Loan Options Sheet'!$DK$58,1000),M48)))</f>
        <v xml:space="preserve"> </v>
      </c>
      <c r="J48" s="188"/>
      <c r="M48" s="193" t="e">
        <f t="shared" si="1"/>
        <v>#DIV/0!</v>
      </c>
      <c r="N48" s="193" t="e" cm="1">
        <f t="array" ref="N48">MIN(_xlfn.FLOOR.MATH(((MaxPMTFHA-2)-'Loan Options Sheet'!$CH$54-'Loan Options Sheet'!$CH$55-'Loan Options Sheet'!$CH$57)/(($Q$1/12)+O48*RATE/(12*(O48-1))),1000),_xlfn.FLOOR.MATH(LOANLIMIT.FHA*1.0175,1000))</f>
        <v>#DIV/0!</v>
      </c>
      <c r="O48" s="193">
        <f t="shared" si="3"/>
        <v>1</v>
      </c>
      <c r="S48" s="193" t="e">
        <f>IF(Calculator!D71=TRUE,T48,IF(Calculator!D72=TRUE,U48,V48))</f>
        <v>#DIV/0!</v>
      </c>
      <c r="T48" s="193" t="e">
        <f>MIN(_xlfn.FLOOR.MATH(((MaxPMTConv-2)-'Loan Options Sheet'!$CH$54-'Loan Options Sheet'!$CH$55-'Loan Options Sheet'!$CH$57)/(('Loan Options Sheet'!$BM$56/12)+(W48*(B48/12))/(W48-1)),1000),C.LOANLIMIT)</f>
        <v>#DIV/0!</v>
      </c>
      <c r="U48" s="193" t="e">
        <f>MIN(_xlfn.FLOOR.MATH((((MaxPMTConv-2)-'Loan Options Sheet'!$CH$54-'Loan Options Sheet'!$CH$55-'Loan Options Sheet'!$CH$57)/((W48*(B48/12))/(W48-1)))/(1+'Loan Options Sheet'!$BM$57),1000),C.LOANLIMIT)</f>
        <v>#DIV/0!</v>
      </c>
      <c r="V48" s="193" t="e">
        <f>MIN(_xlfn.FLOOR.MATH(((MaxPMTConv-2)-'Loan Options Sheet'!$CH$54-'Loan Options Sheet'!$CH$55-'Loan Options Sheet'!$CH$57)/((W48*(B48/12))/(W48-1)),1000),C.LOANLIMIT)</f>
        <v>#DIV/0!</v>
      </c>
      <c r="W48" s="193">
        <f t="shared" si="2"/>
        <v>1</v>
      </c>
    </row>
    <row r="49" spans="4:23" x14ac:dyDescent="0.3">
      <c r="D49" s="188" t="str">
        <f>IF(ISBLANK(B49)," ",IF(Calculator!$G$31=TRUE,_xlfn.FLOOR.MATH(S49/(1-'Loan Options Sheet'!$DD$58),1000),IF(Calculator!$H$31=TRUE,_xlfn.FLOOR.MATH(S49+'Loan Options Sheet'!$DK$58,1000),S49)))</f>
        <v xml:space="preserve"> </v>
      </c>
      <c r="I49" s="188" t="str">
        <f>IF(ISBLANK(G49)," ",IF(Calculator!$G$31=TRUE,_xlfn.FLOOR.MATH(M49/(1-'Loan Options Sheet'!$DD$58),1000),IF(Calculator!$H$31=TRUE,_xlfn.FLOOR.MATH(M49+'Loan Options Sheet'!$DK$58,1000),M49)))</f>
        <v xml:space="preserve"> </v>
      </c>
      <c r="J49" s="188"/>
      <c r="M49" s="193" t="e">
        <f t="shared" si="1"/>
        <v>#DIV/0!</v>
      </c>
      <c r="N49" s="193" t="e" cm="1">
        <f t="array" ref="N49">MIN(_xlfn.FLOOR.MATH(((MaxPMTFHA-2)-'Loan Options Sheet'!$CH$54-'Loan Options Sheet'!$CH$55-'Loan Options Sheet'!$CH$57)/(($Q$1/12)+O49*RATE/(12*(O49-1))),1000),_xlfn.FLOOR.MATH(LOANLIMIT.FHA*1.0175,1000))</f>
        <v>#DIV/0!</v>
      </c>
      <c r="O49" s="193">
        <f t="shared" si="3"/>
        <v>1</v>
      </c>
      <c r="S49" s="193" t="e">
        <f>IF(Calculator!D72=TRUE,T49,IF(Calculator!D73=TRUE,U49,V49))</f>
        <v>#DIV/0!</v>
      </c>
      <c r="T49" s="193" t="e">
        <f>MIN(_xlfn.FLOOR.MATH(((MaxPMTConv-2)-'Loan Options Sheet'!$CH$54-'Loan Options Sheet'!$CH$55-'Loan Options Sheet'!$CH$57)/(('Loan Options Sheet'!$BM$56/12)+(W49*(B49/12))/(W49-1)),1000),C.LOANLIMIT)</f>
        <v>#DIV/0!</v>
      </c>
      <c r="U49" s="193" t="e">
        <f>MIN(_xlfn.FLOOR.MATH((((MaxPMTConv-2)-'Loan Options Sheet'!$CH$54-'Loan Options Sheet'!$CH$55-'Loan Options Sheet'!$CH$57)/((W49*(B49/12))/(W49-1)))/(1+'Loan Options Sheet'!$BM$57),1000),C.LOANLIMIT)</f>
        <v>#DIV/0!</v>
      </c>
      <c r="V49" s="193" t="e">
        <f>MIN(_xlfn.FLOOR.MATH(((MaxPMTConv-2)-'Loan Options Sheet'!$CH$54-'Loan Options Sheet'!$CH$55-'Loan Options Sheet'!$CH$57)/((W49*(B49/12))/(W49-1)),1000),C.LOANLIMIT)</f>
        <v>#DIV/0!</v>
      </c>
      <c r="W49" s="193">
        <f t="shared" si="2"/>
        <v>1</v>
      </c>
    </row>
    <row r="50" spans="4:23" x14ac:dyDescent="0.3">
      <c r="D50" s="188" t="str">
        <f>IF(ISBLANK(B50)," ",IF(Calculator!$G$31=TRUE,_xlfn.FLOOR.MATH(S50/(1-'Loan Options Sheet'!$DD$58),1000),IF(Calculator!$H$31=TRUE,_xlfn.FLOOR.MATH(S50+'Loan Options Sheet'!$DK$58,1000),S50)))</f>
        <v xml:space="preserve"> </v>
      </c>
      <c r="I50" s="188" t="str">
        <f>IF(ISBLANK(G50)," ",IF(Calculator!$G$31=TRUE,_xlfn.FLOOR.MATH(M50/(1-'Loan Options Sheet'!$DD$58),1000),IF(Calculator!$H$31=TRUE,_xlfn.FLOOR.MATH(M50+'Loan Options Sheet'!$DK$58,1000),M50)))</f>
        <v xml:space="preserve"> </v>
      </c>
      <c r="J50" s="188"/>
      <c r="M50" s="193" t="e">
        <f t="shared" si="1"/>
        <v>#DIV/0!</v>
      </c>
      <c r="N50" s="193" t="e" cm="1">
        <f t="array" ref="N50">MIN(_xlfn.FLOOR.MATH(((MaxPMTFHA-2)-'Loan Options Sheet'!$CH$54-'Loan Options Sheet'!$CH$55-'Loan Options Sheet'!$CH$57)/(($Q$1/12)+O50*RATE/(12*(O50-1))),1000),_xlfn.FLOOR.MATH(LOANLIMIT.FHA*1.0175,1000))</f>
        <v>#DIV/0!</v>
      </c>
      <c r="O50" s="193">
        <f t="shared" si="3"/>
        <v>1</v>
      </c>
      <c r="S50" s="193" t="e">
        <f>IF(Calculator!D73=TRUE,T50,IF(Calculator!D74=TRUE,U50,V50))</f>
        <v>#DIV/0!</v>
      </c>
      <c r="T50" s="193" t="e">
        <f>MIN(_xlfn.FLOOR.MATH(((MaxPMTConv-2)-'Loan Options Sheet'!$CH$54-'Loan Options Sheet'!$CH$55-'Loan Options Sheet'!$CH$57)/(('Loan Options Sheet'!$BM$56/12)+(W50*(B50/12))/(W50-1)),1000),C.LOANLIMIT)</f>
        <v>#DIV/0!</v>
      </c>
      <c r="U50" s="193" t="e">
        <f>MIN(_xlfn.FLOOR.MATH((((MaxPMTConv-2)-'Loan Options Sheet'!$CH$54-'Loan Options Sheet'!$CH$55-'Loan Options Sheet'!$CH$57)/((W50*(B50/12))/(W50-1)))/(1+'Loan Options Sheet'!$BM$57),1000),C.LOANLIMIT)</f>
        <v>#DIV/0!</v>
      </c>
      <c r="V50" s="193" t="e">
        <f>MIN(_xlfn.FLOOR.MATH(((MaxPMTConv-2)-'Loan Options Sheet'!$CH$54-'Loan Options Sheet'!$CH$55-'Loan Options Sheet'!$CH$57)/((W50*(B50/12))/(W50-1)),1000),C.LOANLIMIT)</f>
        <v>#DIV/0!</v>
      </c>
      <c r="W50" s="193">
        <f t="shared" si="2"/>
        <v>1</v>
      </c>
    </row>
    <row r="51" spans="4:23" x14ac:dyDescent="0.3">
      <c r="D51" s="188" t="str">
        <f>IF(ISBLANK(B51)," ",IF(Calculator!$G$31=TRUE,_xlfn.FLOOR.MATH(S51/(1-'Loan Options Sheet'!$DD$58),1000),IF(Calculator!$H$31=TRUE,_xlfn.FLOOR.MATH(S51+'Loan Options Sheet'!$DK$58,1000),S51)))</f>
        <v xml:space="preserve"> </v>
      </c>
      <c r="I51" s="188" t="str">
        <f>IF(ISBLANK(G51)," ",IF(Calculator!$G$31=TRUE,_xlfn.FLOOR.MATH(M51/(1-'Loan Options Sheet'!$DD$58),1000),IF(Calculator!$H$31=TRUE,_xlfn.FLOOR.MATH(M51+'Loan Options Sheet'!$DK$58,1000),M51)))</f>
        <v xml:space="preserve"> </v>
      </c>
      <c r="J51" s="188"/>
      <c r="M51" s="193" t="e">
        <f t="shared" si="1"/>
        <v>#DIV/0!</v>
      </c>
      <c r="N51" s="193" t="e" cm="1">
        <f t="array" ref="N51">MIN(_xlfn.FLOOR.MATH(((MaxPMTFHA-2)-'Loan Options Sheet'!$CH$54-'Loan Options Sheet'!$CH$55-'Loan Options Sheet'!$CH$57)/(($Q$1/12)+O51*RATE/(12*(O51-1))),1000),_xlfn.FLOOR.MATH(LOANLIMIT.FHA*1.0175,1000))</f>
        <v>#DIV/0!</v>
      </c>
      <c r="O51" s="193">
        <f t="shared" si="3"/>
        <v>1</v>
      </c>
      <c r="S51" s="193" t="e">
        <f>IF(Calculator!D74=TRUE,T51,IF(Calculator!D75=TRUE,U51,V51))</f>
        <v>#DIV/0!</v>
      </c>
      <c r="T51" s="193" t="e">
        <f>MIN(_xlfn.FLOOR.MATH(((MaxPMTConv-2)-'Loan Options Sheet'!$CH$54-'Loan Options Sheet'!$CH$55-'Loan Options Sheet'!$CH$57)/(('Loan Options Sheet'!$BM$56/12)+(W51*(B51/12))/(W51-1)),1000),C.LOANLIMIT)</f>
        <v>#DIV/0!</v>
      </c>
      <c r="U51" s="193" t="e">
        <f>MIN(_xlfn.FLOOR.MATH((((MaxPMTConv-2)-'Loan Options Sheet'!$CH$54-'Loan Options Sheet'!$CH$55-'Loan Options Sheet'!$CH$57)/((W51*(B51/12))/(W51-1)))/(1+'Loan Options Sheet'!$BM$57),1000),C.LOANLIMIT)</f>
        <v>#DIV/0!</v>
      </c>
      <c r="V51" s="193" t="e">
        <f>MIN(_xlfn.FLOOR.MATH(((MaxPMTConv-2)-'Loan Options Sheet'!$CH$54-'Loan Options Sheet'!$CH$55-'Loan Options Sheet'!$CH$57)/((W51*(B51/12))/(W51-1)),1000),C.LOANLIMIT)</f>
        <v>#DIV/0!</v>
      </c>
      <c r="W51" s="193">
        <f t="shared" si="2"/>
        <v>1</v>
      </c>
    </row>
    <row r="52" spans="4:23" x14ac:dyDescent="0.3">
      <c r="D52" s="188" t="str">
        <f>IF(ISBLANK(B52)," ",IF(Calculator!$G$31=TRUE,_xlfn.FLOOR.MATH(S52/(1-'Loan Options Sheet'!$DD$58),1000),IF(Calculator!$H$31=TRUE,_xlfn.FLOOR.MATH(S52+'Loan Options Sheet'!$DK$58,1000),S52)))</f>
        <v xml:space="preserve"> </v>
      </c>
      <c r="I52" s="188" t="str">
        <f>IF(ISBLANK(G52)," ",IF(Calculator!$G$31=TRUE,_xlfn.FLOOR.MATH(M52/(1-'Loan Options Sheet'!$DD$58),1000),IF(Calculator!$H$31=TRUE,_xlfn.FLOOR.MATH(M52+'Loan Options Sheet'!$DK$58,1000),M52)))</f>
        <v xml:space="preserve"> </v>
      </c>
      <c r="J52" s="188"/>
      <c r="M52" s="193" t="e">
        <f t="shared" si="1"/>
        <v>#DIV/0!</v>
      </c>
      <c r="N52" s="193" t="e" cm="1">
        <f t="array" ref="N52">MIN(_xlfn.FLOOR.MATH(((MaxPMTFHA-2)-'Loan Options Sheet'!$CH$54-'Loan Options Sheet'!$CH$55-'Loan Options Sheet'!$CH$57)/(($Q$1/12)+O52*RATE/(12*(O52-1))),1000),_xlfn.FLOOR.MATH(LOANLIMIT.FHA*1.0175,1000))</f>
        <v>#DIV/0!</v>
      </c>
      <c r="O52" s="193">
        <f t="shared" si="3"/>
        <v>1</v>
      </c>
      <c r="S52" s="193" t="e">
        <f>IF(Calculator!D75=TRUE,T52,IF(Calculator!D76=TRUE,U52,V52))</f>
        <v>#DIV/0!</v>
      </c>
      <c r="T52" s="193" t="e">
        <f>MIN(_xlfn.FLOOR.MATH(((MaxPMTConv-2)-'Loan Options Sheet'!$CH$54-'Loan Options Sheet'!$CH$55-'Loan Options Sheet'!$CH$57)/(('Loan Options Sheet'!$BM$56/12)+(W52*(B52/12))/(W52-1)),1000),C.LOANLIMIT)</f>
        <v>#DIV/0!</v>
      </c>
      <c r="U52" s="193" t="e">
        <f>MIN(_xlfn.FLOOR.MATH((((MaxPMTConv-2)-'Loan Options Sheet'!$CH$54-'Loan Options Sheet'!$CH$55-'Loan Options Sheet'!$CH$57)/((W52*(B52/12))/(W52-1)))/(1+'Loan Options Sheet'!$BM$57),1000),C.LOANLIMIT)</f>
        <v>#DIV/0!</v>
      </c>
      <c r="V52" s="193" t="e">
        <f>MIN(_xlfn.FLOOR.MATH(((MaxPMTConv-2)-'Loan Options Sheet'!$CH$54-'Loan Options Sheet'!$CH$55-'Loan Options Sheet'!$CH$57)/((W52*(B52/12))/(W52-1)),1000),C.LOANLIMIT)</f>
        <v>#DIV/0!</v>
      </c>
      <c r="W52" s="193">
        <f t="shared" si="2"/>
        <v>1</v>
      </c>
    </row>
    <row r="53" spans="4:23" x14ac:dyDescent="0.3">
      <c r="D53" s="188" t="str">
        <f>IF(ISBLANK(B53)," ",IF(Calculator!$G$31=TRUE,_xlfn.FLOOR.MATH(S53/(1-'Loan Options Sheet'!$DD$58),1000),IF(Calculator!$H$31=TRUE,_xlfn.FLOOR.MATH(S53+'Loan Options Sheet'!$DK$58,1000),S53)))</f>
        <v xml:space="preserve"> </v>
      </c>
      <c r="I53" s="188" t="str">
        <f>IF(ISBLANK(G53)," ",IF(Calculator!$G$31=TRUE,_xlfn.FLOOR.MATH(M53/(1-'Loan Options Sheet'!$DD$58),1000),IF(Calculator!$H$31=TRUE,_xlfn.FLOOR.MATH(M53+'Loan Options Sheet'!$DK$58,1000),M53)))</f>
        <v xml:space="preserve"> </v>
      </c>
      <c r="J53" s="188"/>
      <c r="M53" s="193" t="e">
        <f t="shared" si="1"/>
        <v>#DIV/0!</v>
      </c>
      <c r="N53" s="193" t="e" cm="1">
        <f t="array" ref="N53">MIN(_xlfn.FLOOR.MATH(((MaxPMTFHA-2)-'Loan Options Sheet'!$CH$54-'Loan Options Sheet'!$CH$55-'Loan Options Sheet'!$CH$57)/(($Q$1/12)+O53*RATE/(12*(O53-1))),1000),_xlfn.FLOOR.MATH(LOANLIMIT.FHA*1.0175,1000))</f>
        <v>#DIV/0!</v>
      </c>
      <c r="O53" s="193">
        <f t="shared" si="3"/>
        <v>1</v>
      </c>
      <c r="S53" s="193" t="e">
        <f>IF(Calculator!D76=TRUE,T53,IF(Calculator!D77=TRUE,U53,V53))</f>
        <v>#DIV/0!</v>
      </c>
      <c r="T53" s="193" t="e">
        <f>MIN(_xlfn.FLOOR.MATH(((MaxPMTConv-2)-'Loan Options Sheet'!$CH$54-'Loan Options Sheet'!$CH$55-'Loan Options Sheet'!$CH$57)/(('Loan Options Sheet'!$BM$56/12)+(W53*(B53/12))/(W53-1)),1000),C.LOANLIMIT)</f>
        <v>#DIV/0!</v>
      </c>
      <c r="U53" s="193" t="e">
        <f>MIN(_xlfn.FLOOR.MATH((((MaxPMTConv-2)-'Loan Options Sheet'!$CH$54-'Loan Options Sheet'!$CH$55-'Loan Options Sheet'!$CH$57)/((W53*(B53/12))/(W53-1)))/(1+'Loan Options Sheet'!$BM$57),1000),C.LOANLIMIT)</f>
        <v>#DIV/0!</v>
      </c>
      <c r="V53" s="193" t="e">
        <f>MIN(_xlfn.FLOOR.MATH(((MaxPMTConv-2)-'Loan Options Sheet'!$CH$54-'Loan Options Sheet'!$CH$55-'Loan Options Sheet'!$CH$57)/((W53*(B53/12))/(W53-1)),1000),C.LOANLIMIT)</f>
        <v>#DIV/0!</v>
      </c>
      <c r="W53" s="193">
        <f t="shared" si="2"/>
        <v>1</v>
      </c>
    </row>
    <row r="54" spans="4:23" x14ac:dyDescent="0.3">
      <c r="D54" s="188" t="str">
        <f>IF(ISBLANK(B54)," ",IF(Calculator!$G$31=TRUE,_xlfn.FLOOR.MATH(S54/(1-'Loan Options Sheet'!$DD$58),1000),IF(Calculator!$H$31=TRUE,_xlfn.FLOOR.MATH(S54+'Loan Options Sheet'!$DK$58,1000),S54)))</f>
        <v xml:space="preserve"> </v>
      </c>
      <c r="I54" s="188" t="str">
        <f>IF(ISBLANK(G54)," ",IF(Calculator!$G$31=TRUE,_xlfn.FLOOR.MATH(M54/(1-'Loan Options Sheet'!$DD$58),1000),IF(Calculator!$H$31=TRUE,_xlfn.FLOOR.MATH(M54+'Loan Options Sheet'!$DK$58,1000),M54)))</f>
        <v xml:space="preserve"> </v>
      </c>
      <c r="J54" s="188"/>
      <c r="M54" s="193" t="e">
        <f t="shared" si="1"/>
        <v>#DIV/0!</v>
      </c>
      <c r="N54" s="193" t="e" cm="1">
        <f t="array" ref="N54">MIN(_xlfn.FLOOR.MATH(((MaxPMTFHA-2)-'Loan Options Sheet'!$CH$54-'Loan Options Sheet'!$CH$55-'Loan Options Sheet'!$CH$57)/(($Q$1/12)+O54*RATE/(12*(O54-1))),1000),_xlfn.FLOOR.MATH(LOANLIMIT.FHA*1.0175,1000))</f>
        <v>#DIV/0!</v>
      </c>
      <c r="O54" s="193">
        <f t="shared" si="3"/>
        <v>1</v>
      </c>
      <c r="S54" s="193" t="e">
        <f>IF(Calculator!D77=TRUE,T54,IF(Calculator!D78=TRUE,U54,V54))</f>
        <v>#DIV/0!</v>
      </c>
      <c r="T54" s="193" t="e">
        <f>MIN(_xlfn.FLOOR.MATH(((MaxPMTConv-2)-'Loan Options Sheet'!$CH$54-'Loan Options Sheet'!$CH$55-'Loan Options Sheet'!$CH$57)/(('Loan Options Sheet'!$BM$56/12)+(W54*(B54/12))/(W54-1)),1000),C.LOANLIMIT)</f>
        <v>#DIV/0!</v>
      </c>
      <c r="U54" s="193" t="e">
        <f>MIN(_xlfn.FLOOR.MATH((((MaxPMTConv-2)-'Loan Options Sheet'!$CH$54-'Loan Options Sheet'!$CH$55-'Loan Options Sheet'!$CH$57)/((W54*(B54/12))/(W54-1)))/(1+'Loan Options Sheet'!$BM$57),1000),C.LOANLIMIT)</f>
        <v>#DIV/0!</v>
      </c>
      <c r="V54" s="193" t="e">
        <f>MIN(_xlfn.FLOOR.MATH(((MaxPMTConv-2)-'Loan Options Sheet'!$CH$54-'Loan Options Sheet'!$CH$55-'Loan Options Sheet'!$CH$57)/((W54*(B54/12))/(W54-1)),1000),C.LOANLIMIT)</f>
        <v>#DIV/0!</v>
      </c>
      <c r="W54" s="193">
        <f t="shared" si="2"/>
        <v>1</v>
      </c>
    </row>
    <row r="55" spans="4:23" x14ac:dyDescent="0.3">
      <c r="D55" s="188" t="str">
        <f>IF(ISBLANK(B55)," ",IF(Calculator!$G$31=TRUE,_xlfn.FLOOR.MATH(S55/(1-'Loan Options Sheet'!$DD$58),1000),IF(Calculator!$H$31=TRUE,_xlfn.FLOOR.MATH(S55+'Loan Options Sheet'!$DK$58,1000),S55)))</f>
        <v xml:space="preserve"> </v>
      </c>
      <c r="I55" s="188" t="str">
        <f>IF(ISBLANK(G55)," ",IF(Calculator!$G$31=TRUE,_xlfn.FLOOR.MATH(M55/(1-'Loan Options Sheet'!$DD$58),1000),IF(Calculator!$H$31=TRUE,_xlfn.FLOOR.MATH(M55+'Loan Options Sheet'!$DK$58,1000),M55)))</f>
        <v xml:space="preserve"> </v>
      </c>
      <c r="J55" s="188"/>
      <c r="M55" s="193" t="e">
        <f t="shared" si="1"/>
        <v>#DIV/0!</v>
      </c>
      <c r="N55" s="193" t="e" cm="1">
        <f t="array" ref="N55">MIN(_xlfn.FLOOR.MATH(((MaxPMTFHA-2)-'Loan Options Sheet'!$CH$54-'Loan Options Sheet'!$CH$55-'Loan Options Sheet'!$CH$57)/(($Q$1/12)+O55*RATE/(12*(O55-1))),1000),_xlfn.FLOOR.MATH(LOANLIMIT.FHA*1.0175,1000))</f>
        <v>#DIV/0!</v>
      </c>
      <c r="O55" s="193">
        <f t="shared" si="3"/>
        <v>1</v>
      </c>
      <c r="S55" s="193" t="e">
        <f>IF(Calculator!D78=TRUE,T55,IF(Calculator!D79=TRUE,U55,V55))</f>
        <v>#DIV/0!</v>
      </c>
      <c r="T55" s="193" t="e">
        <f>MIN(_xlfn.FLOOR.MATH(((MaxPMTConv-2)-'Loan Options Sheet'!$CH$54-'Loan Options Sheet'!$CH$55-'Loan Options Sheet'!$CH$57)/(('Loan Options Sheet'!$BM$56/12)+(W55*(B55/12))/(W55-1)),1000),C.LOANLIMIT)</f>
        <v>#DIV/0!</v>
      </c>
      <c r="U55" s="193" t="e">
        <f>MIN(_xlfn.FLOOR.MATH((((MaxPMTConv-2)-'Loan Options Sheet'!$CH$54-'Loan Options Sheet'!$CH$55-'Loan Options Sheet'!$CH$57)/((W55*(B55/12))/(W55-1)))/(1+'Loan Options Sheet'!$BM$57),1000),C.LOANLIMIT)</f>
        <v>#DIV/0!</v>
      </c>
      <c r="V55" s="193" t="e">
        <f>MIN(_xlfn.FLOOR.MATH(((MaxPMTConv-2)-'Loan Options Sheet'!$CH$54-'Loan Options Sheet'!$CH$55-'Loan Options Sheet'!$CH$57)/((W55*(B55/12))/(W55-1)),1000),C.LOANLIMIT)</f>
        <v>#DIV/0!</v>
      </c>
      <c r="W55" s="193">
        <f t="shared" si="2"/>
        <v>1</v>
      </c>
    </row>
  </sheetData>
  <mergeCells count="9">
    <mergeCell ref="B1:C1"/>
    <mergeCell ref="D1:D2"/>
    <mergeCell ref="W1:W2"/>
    <mergeCell ref="G1:H1"/>
    <mergeCell ref="I1:I2"/>
    <mergeCell ref="M1:M2"/>
    <mergeCell ref="N1:N2"/>
    <mergeCell ref="O1:O2"/>
    <mergeCell ref="T1:V1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EDB905C-B509-4C01-AABA-7B24DF45119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21</vt:i4>
      </vt:variant>
    </vt:vector>
  </HeadingPairs>
  <TitlesOfParts>
    <vt:vector size="26" baseType="lpstr">
      <vt:lpstr>Loan Options Sheet</vt:lpstr>
      <vt:lpstr>Calculator</vt:lpstr>
      <vt:lpstr>Debts</vt:lpstr>
      <vt:lpstr>Back End</vt:lpstr>
      <vt:lpstr>Rate Sheet</vt:lpstr>
      <vt:lpstr>BoolDTI31</vt:lpstr>
      <vt:lpstr>BoolDTI36</vt:lpstr>
      <vt:lpstr>BoolDTI41</vt:lpstr>
      <vt:lpstr>BoolDTI45</vt:lpstr>
      <vt:lpstr>BoolDTI47</vt:lpstr>
      <vt:lpstr>BoolDTI50</vt:lpstr>
      <vt:lpstr>BoolDTI57</vt:lpstr>
      <vt:lpstr>DTI</vt:lpstr>
      <vt:lpstr>HousingPayment</vt:lpstr>
      <vt:lpstr>MaxPMTConv</vt:lpstr>
      <vt:lpstr>MaxPMTFHA</vt:lpstr>
      <vt:lpstr>'Loan Options Sheet'!Print_Area</vt:lpstr>
      <vt:lpstr>RATE</vt:lpstr>
      <vt:lpstr>TERM</vt:lpstr>
      <vt:lpstr>ValueDTI31</vt:lpstr>
      <vt:lpstr>ValueDTI36</vt:lpstr>
      <vt:lpstr>ValueDTI41</vt:lpstr>
      <vt:lpstr>ValueDTI45</vt:lpstr>
      <vt:lpstr>ValueDTI47</vt:lpstr>
      <vt:lpstr>ValueDTI50</vt:lpstr>
      <vt:lpstr>ValueDTI57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Issac Gomez</dc:creator>
  <cp:keywords/>
  <dc:description/>
  <cp:lastModifiedBy>issac newton</cp:lastModifiedBy>
  <cp:revision/>
  <dcterms:created xsi:type="dcterms:W3CDTF">2021-06-29T21:18:35Z</dcterms:created>
  <dcterms:modified xsi:type="dcterms:W3CDTF">2023-05-30T21:17:55Z</dcterms:modified>
  <cp:category/>
  <cp:contentStatus/>
</cp:coreProperties>
</file>